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esktop\Practical Finance Projects\DCF_Valuation\"/>
    </mc:Choice>
  </mc:AlternateContent>
  <xr:revisionPtr revIDLastSave="0" documentId="13_ncr:1_{3380882D-8A03-44D4-87D6-C3C7790D5B3A}" xr6:coauthVersionLast="47" xr6:coauthVersionMax="47" xr10:uidLastSave="{00000000-0000-0000-0000-000000000000}"/>
  <bookViews>
    <workbookView xWindow="-108" yWindow="-108" windowWidth="23256" windowHeight="12816" activeTab="4" xr2:uid="{4CD70E3C-BE19-4605-B69D-450C41763F1B}"/>
  </bookViews>
  <sheets>
    <sheet name="Agenda" sheetId="1" r:id="rId1"/>
    <sheet name="DCF" sheetId="5" r:id="rId2"/>
    <sheet name="WACC" sheetId="7" r:id="rId3"/>
    <sheet name="IS" sheetId="8" r:id="rId4"/>
    <sheet name="CFS" sheetId="9" r:id="rId5"/>
  </sheets>
  <definedNames>
    <definedName name="_xlnm.Print_Area" localSheetId="1">DCF!$A$42:$S$58</definedName>
    <definedName name="tgr">DCF!$E$19</definedName>
    <definedName name="wacc">DCF!$E$18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5" l="1"/>
  <c r="E19" i="5" l="1"/>
  <c r="E18" i="5"/>
  <c r="F16" i="7"/>
  <c r="F10" i="7"/>
  <c r="F9" i="7"/>
  <c r="F18" i="7"/>
  <c r="F22" i="7" s="1"/>
  <c r="O18" i="5" s="1"/>
  <c r="F20" i="7"/>
  <c r="N38" i="5"/>
  <c r="M38" i="5"/>
  <c r="L38" i="5"/>
  <c r="K38" i="5"/>
  <c r="J38" i="5"/>
  <c r="I38" i="5"/>
  <c r="H38" i="5"/>
  <c r="G38" i="5"/>
  <c r="F38" i="5"/>
  <c r="N29" i="5"/>
  <c r="M29" i="5"/>
  <c r="L29" i="5"/>
  <c r="K29" i="5"/>
  <c r="J29" i="5"/>
  <c r="I29" i="5"/>
  <c r="H29" i="5"/>
  <c r="G29" i="5"/>
  <c r="F29" i="5"/>
  <c r="E29" i="5"/>
  <c r="E38" i="5" l="1"/>
  <c r="E39" i="5"/>
  <c r="B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N35" i="5"/>
  <c r="M35" i="5"/>
  <c r="L35" i="5"/>
  <c r="K35" i="5"/>
  <c r="J35" i="5"/>
  <c r="I35" i="5"/>
  <c r="H35" i="5"/>
  <c r="G35" i="5"/>
  <c r="F35" i="5"/>
  <c r="E35" i="5"/>
  <c r="E36" i="5" s="1"/>
  <c r="N32" i="5"/>
  <c r="M32" i="5"/>
  <c r="L32" i="5"/>
  <c r="K32" i="5"/>
  <c r="J32" i="5"/>
  <c r="I32" i="5"/>
  <c r="H32" i="5"/>
  <c r="G32" i="5"/>
  <c r="F32" i="5"/>
  <c r="E32" i="5"/>
  <c r="E33" i="5" s="1"/>
  <c r="E26" i="5"/>
  <c r="N25" i="5"/>
  <c r="M25" i="5"/>
  <c r="L25" i="5"/>
  <c r="K25" i="5"/>
  <c r="J25" i="5"/>
  <c r="I25" i="5"/>
  <c r="H25" i="5"/>
  <c r="G25" i="5"/>
  <c r="F25" i="5"/>
  <c r="E25" i="5"/>
  <c r="N28" i="5"/>
  <c r="M28" i="5"/>
  <c r="L28" i="5"/>
  <c r="K28" i="5"/>
  <c r="J28" i="5"/>
  <c r="I28" i="5"/>
  <c r="H28" i="5"/>
  <c r="G28" i="5"/>
  <c r="F28" i="5"/>
  <c r="E28" i="5"/>
  <c r="N22" i="5" l="1"/>
  <c r="M22" i="5"/>
  <c r="L22" i="5"/>
  <c r="K22" i="5"/>
  <c r="J22" i="5"/>
  <c r="I22" i="5"/>
  <c r="H22" i="5"/>
  <c r="G22" i="5"/>
  <c r="F22" i="5"/>
  <c r="E22" i="5"/>
  <c r="B9" i="9"/>
  <c r="C8" i="9"/>
  <c r="D8" i="9" s="1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C8" i="8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D9" i="9" l="1"/>
  <c r="E8" i="9"/>
  <c r="C9" i="9"/>
  <c r="S79" i="5"/>
  <c r="P73" i="5"/>
  <c r="Q73" i="5" s="1"/>
  <c r="R73" i="5" s="1"/>
  <c r="S73" i="5" s="1"/>
  <c r="P56" i="5"/>
  <c r="Q56" i="5" s="1"/>
  <c r="R56" i="5" s="1"/>
  <c r="S56" i="5" s="1"/>
  <c r="J56" i="5"/>
  <c r="I56" i="5"/>
  <c r="H56" i="5"/>
  <c r="G56" i="5"/>
  <c r="F56" i="5"/>
  <c r="E56" i="5"/>
  <c r="N55" i="5"/>
  <c r="M55" i="5"/>
  <c r="H55" i="5"/>
  <c r="G55" i="5"/>
  <c r="F55" i="5"/>
  <c r="E55" i="5"/>
  <c r="N56" i="5"/>
  <c r="M56" i="5"/>
  <c r="L56" i="5"/>
  <c r="K56" i="5"/>
  <c r="L55" i="5"/>
  <c r="K55" i="5"/>
  <c r="J55" i="5"/>
  <c r="I55" i="5"/>
  <c r="S53" i="5"/>
  <c r="S51" i="5"/>
  <c r="N49" i="5"/>
  <c r="K26" i="5"/>
  <c r="J49" i="5"/>
  <c r="I49" i="5"/>
  <c r="H49" i="5"/>
  <c r="G49" i="5"/>
  <c r="E49" i="5"/>
  <c r="N43" i="5"/>
  <c r="K43" i="5"/>
  <c r="H43" i="5"/>
  <c r="G43" i="5"/>
  <c r="F43" i="5"/>
  <c r="N66" i="5"/>
  <c r="M66" i="5"/>
  <c r="L66" i="5"/>
  <c r="K66" i="5"/>
  <c r="J66" i="5"/>
  <c r="I66" i="5"/>
  <c r="H66" i="5"/>
  <c r="G66" i="5"/>
  <c r="F66" i="5"/>
  <c r="E66" i="5"/>
  <c r="N36" i="5"/>
  <c r="M63" i="5"/>
  <c r="L63" i="5"/>
  <c r="K63" i="5"/>
  <c r="I63" i="5"/>
  <c r="H63" i="5"/>
  <c r="G63" i="5"/>
  <c r="F63" i="5"/>
  <c r="E63" i="5"/>
  <c r="N60" i="5"/>
  <c r="L60" i="5"/>
  <c r="G60" i="5"/>
  <c r="E60" i="5"/>
  <c r="P41" i="5"/>
  <c r="Q41" i="5" s="1"/>
  <c r="R41" i="5" s="1"/>
  <c r="S41" i="5" s="1"/>
  <c r="E31" i="5"/>
  <c r="E42" i="5" s="1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F21" i="5"/>
  <c r="F31" i="5" s="1"/>
  <c r="G61" i="5" l="1"/>
  <c r="H64" i="5"/>
  <c r="H67" i="5"/>
  <c r="K67" i="5"/>
  <c r="F64" i="5"/>
  <c r="M33" i="5"/>
  <c r="K64" i="5"/>
  <c r="F33" i="5"/>
  <c r="N61" i="5"/>
  <c r="G64" i="5"/>
  <c r="F67" i="5"/>
  <c r="F26" i="5"/>
  <c r="G67" i="5"/>
  <c r="E9" i="9"/>
  <c r="F8" i="9"/>
  <c r="F49" i="5"/>
  <c r="F50" i="5" s="1"/>
  <c r="M60" i="5"/>
  <c r="G50" i="5"/>
  <c r="F60" i="5"/>
  <c r="F61" i="5" s="1"/>
  <c r="H33" i="5"/>
  <c r="O73" i="5"/>
  <c r="I36" i="5"/>
  <c r="J36" i="5"/>
  <c r="N67" i="5"/>
  <c r="H60" i="5"/>
  <c r="H61" i="5" s="1"/>
  <c r="J63" i="5"/>
  <c r="I33" i="5"/>
  <c r="I60" i="5"/>
  <c r="J33" i="5"/>
  <c r="J60" i="5"/>
  <c r="K33" i="5"/>
  <c r="K60" i="5"/>
  <c r="K61" i="5" s="1"/>
  <c r="G39" i="5"/>
  <c r="H26" i="5"/>
  <c r="G33" i="5"/>
  <c r="N63" i="5"/>
  <c r="N64" i="5" s="1"/>
  <c r="N23" i="5"/>
  <c r="N33" i="5"/>
  <c r="G26" i="5"/>
  <c r="M36" i="5"/>
  <c r="N26" i="5"/>
  <c r="G36" i="5"/>
  <c r="M23" i="5"/>
  <c r="F36" i="5"/>
  <c r="H36" i="5"/>
  <c r="M39" i="5"/>
  <c r="J26" i="5"/>
  <c r="L26" i="5"/>
  <c r="H50" i="5"/>
  <c r="G23" i="5"/>
  <c r="L33" i="5"/>
  <c r="F39" i="5"/>
  <c r="N39" i="5"/>
  <c r="M26" i="5"/>
  <c r="G44" i="5"/>
  <c r="H44" i="5"/>
  <c r="N50" i="5"/>
  <c r="I43" i="5"/>
  <c r="I44" i="5" s="1"/>
  <c r="J43" i="5"/>
  <c r="J39" i="5"/>
  <c r="M43" i="5"/>
  <c r="M64" i="5" s="1"/>
  <c r="J23" i="5"/>
  <c r="I26" i="5"/>
  <c r="K49" i="5"/>
  <c r="K50" i="5" s="1"/>
  <c r="K23" i="5"/>
  <c r="L43" i="5"/>
  <c r="L44" i="5" s="1"/>
  <c r="E43" i="5"/>
  <c r="E50" i="5" s="1"/>
  <c r="I23" i="5"/>
  <c r="L49" i="5"/>
  <c r="M49" i="5"/>
  <c r="H23" i="5"/>
  <c r="K36" i="5"/>
  <c r="H39" i="5"/>
  <c r="L36" i="5"/>
  <c r="I39" i="5"/>
  <c r="K39" i="5"/>
  <c r="L23" i="5"/>
  <c r="L39" i="5"/>
  <c r="F23" i="5"/>
  <c r="G21" i="5"/>
  <c r="E61" i="5" l="1"/>
  <c r="O33" i="5"/>
  <c r="P33" i="5" s="1"/>
  <c r="O52" i="5"/>
  <c r="O26" i="5"/>
  <c r="P26" i="5" s="1"/>
  <c r="O23" i="5"/>
  <c r="O39" i="5"/>
  <c r="O36" i="5"/>
  <c r="P36" i="5" s="1"/>
  <c r="I64" i="5"/>
  <c r="J44" i="5"/>
  <c r="I61" i="5"/>
  <c r="J67" i="5"/>
  <c r="M67" i="5"/>
  <c r="I67" i="5"/>
  <c r="I50" i="5"/>
  <c r="J64" i="5"/>
  <c r="F9" i="9"/>
  <c r="G8" i="9"/>
  <c r="L61" i="5"/>
  <c r="J61" i="5"/>
  <c r="F44" i="5"/>
  <c r="M61" i="5"/>
  <c r="L67" i="5"/>
  <c r="L64" i="5"/>
  <c r="E64" i="5"/>
  <c r="E67" i="5"/>
  <c r="J50" i="5"/>
  <c r="M44" i="5"/>
  <c r="L50" i="5"/>
  <c r="M50" i="5"/>
  <c r="N44" i="5"/>
  <c r="K44" i="5"/>
  <c r="G31" i="5"/>
  <c r="H21" i="5"/>
  <c r="O67" i="5" l="1"/>
  <c r="P67" i="5" s="1"/>
  <c r="Q67" i="5" s="1"/>
  <c r="R67" i="5" s="1"/>
  <c r="S67" i="5" s="1"/>
  <c r="Q36" i="5"/>
  <c r="R36" i="5" s="1"/>
  <c r="S36" i="5" s="1"/>
  <c r="Q26" i="5"/>
  <c r="O46" i="5"/>
  <c r="O22" i="5"/>
  <c r="Q33" i="5"/>
  <c r="R33" i="5" s="1"/>
  <c r="S33" i="5" s="1"/>
  <c r="P23" i="5"/>
  <c r="P46" i="5" s="1"/>
  <c r="P39" i="5"/>
  <c r="Q39" i="5" s="1"/>
  <c r="O51" i="5"/>
  <c r="P51" i="5" s="1"/>
  <c r="O53" i="5"/>
  <c r="O50" i="5" s="1"/>
  <c r="O64" i="5"/>
  <c r="P64" i="5" s="1"/>
  <c r="Q64" i="5" s="1"/>
  <c r="R64" i="5" s="1"/>
  <c r="S64" i="5" s="1"/>
  <c r="H8" i="9"/>
  <c r="G9" i="9"/>
  <c r="O61" i="5"/>
  <c r="P61" i="5" s="1"/>
  <c r="Q61" i="5" s="1"/>
  <c r="R61" i="5" s="1"/>
  <c r="S61" i="5" s="1"/>
  <c r="H31" i="5"/>
  <c r="I21" i="5"/>
  <c r="O35" i="5" l="1"/>
  <c r="O38" i="5"/>
  <c r="O32" i="5"/>
  <c r="P22" i="5"/>
  <c r="O47" i="5"/>
  <c r="O44" i="5" s="1"/>
  <c r="O43" i="5" s="1"/>
  <c r="O45" i="5"/>
  <c r="Q23" i="5"/>
  <c r="R26" i="5"/>
  <c r="P45" i="5"/>
  <c r="P47" i="5"/>
  <c r="P44" i="5" s="1"/>
  <c r="R39" i="5"/>
  <c r="S39" i="5" s="1"/>
  <c r="I8" i="9"/>
  <c r="H9" i="9"/>
  <c r="I31" i="5"/>
  <c r="J21" i="5"/>
  <c r="S26" i="5" l="1"/>
  <c r="Q46" i="5"/>
  <c r="R23" i="5"/>
  <c r="R46" i="5" s="1"/>
  <c r="Q22" i="5"/>
  <c r="P32" i="5"/>
  <c r="P38" i="5"/>
  <c r="P35" i="5"/>
  <c r="P25" i="5"/>
  <c r="P28" i="5" s="1"/>
  <c r="P43" i="5"/>
  <c r="J8" i="9"/>
  <c r="I9" i="9"/>
  <c r="K21" i="5"/>
  <c r="J31" i="5"/>
  <c r="R45" i="5" l="1"/>
  <c r="R47" i="5"/>
  <c r="R44" i="5" s="1"/>
  <c r="R22" i="5"/>
  <c r="Q35" i="5"/>
  <c r="Q38" i="5"/>
  <c r="Q32" i="5"/>
  <c r="Q25" i="5"/>
  <c r="Q28" i="5" s="1"/>
  <c r="S23" i="5"/>
  <c r="S46" i="5" s="1"/>
  <c r="Q47" i="5"/>
  <c r="Q44" i="5" s="1"/>
  <c r="Q45" i="5"/>
  <c r="K8" i="9"/>
  <c r="J9" i="9"/>
  <c r="K31" i="5"/>
  <c r="L21" i="5"/>
  <c r="S47" i="5" l="1"/>
  <c r="S44" i="5" s="1"/>
  <c r="S45" i="5"/>
  <c r="R32" i="5"/>
  <c r="S22" i="5"/>
  <c r="R38" i="5"/>
  <c r="R35" i="5"/>
  <c r="R25" i="5"/>
  <c r="R28" i="5" s="1"/>
  <c r="L8" i="9"/>
  <c r="K9" i="9"/>
  <c r="L31" i="5"/>
  <c r="M21" i="5"/>
  <c r="S38" i="5" l="1"/>
  <c r="S35" i="5"/>
  <c r="S32" i="5"/>
  <c r="S25" i="5"/>
  <c r="S28" i="5" s="1"/>
  <c r="L9" i="9"/>
  <c r="M8" i="9"/>
  <c r="M31" i="5"/>
  <c r="N31" i="5" s="1"/>
  <c r="O31" i="5" s="1"/>
  <c r="P31" i="5" s="1"/>
  <c r="Q31" i="5" s="1"/>
  <c r="R31" i="5" s="1"/>
  <c r="S31" i="5" s="1"/>
  <c r="N21" i="5"/>
  <c r="O21" i="5" s="1"/>
  <c r="P21" i="5" s="1"/>
  <c r="Q21" i="5" s="1"/>
  <c r="R21" i="5" s="1"/>
  <c r="S21" i="5" s="1"/>
  <c r="M9" i="9" l="1"/>
  <c r="N8" i="9"/>
  <c r="N9" i="9" l="1"/>
  <c r="O8" i="9"/>
  <c r="O9" i="9" s="1"/>
  <c r="O25" i="5" l="1"/>
  <c r="O28" i="5" s="1"/>
  <c r="P52" i="5"/>
  <c r="Q52" i="5" s="1"/>
  <c r="R52" i="5" s="1"/>
  <c r="S52" i="5" s="1"/>
  <c r="Q51" i="5" l="1"/>
  <c r="R51" i="5" s="1"/>
  <c r="P53" i="5" l="1"/>
  <c r="Q53" i="5" l="1"/>
  <c r="R53" i="5" l="1"/>
  <c r="O66" i="5" l="1"/>
  <c r="O63" i="5"/>
  <c r="O60" i="5"/>
  <c r="P60" i="5" l="1"/>
  <c r="P66" i="5"/>
  <c r="Q43" i="5"/>
  <c r="P63" i="5"/>
  <c r="Q60" i="5" l="1"/>
  <c r="Q66" i="5"/>
  <c r="R43" i="5"/>
  <c r="Q63" i="5"/>
  <c r="R60" i="5" l="1"/>
  <c r="R63" i="5"/>
  <c r="R66" i="5"/>
  <c r="S43" i="5"/>
  <c r="S63" i="5" l="1"/>
  <c r="S60" i="5"/>
  <c r="S66" i="5"/>
  <c r="O49" i="5"/>
  <c r="P50" i="5"/>
  <c r="P49" i="5" s="1"/>
  <c r="Q50" i="5"/>
  <c r="Q49" i="5" s="1"/>
  <c r="Q55" i="5" s="1"/>
  <c r="Q58" i="5" s="1"/>
  <c r="Q69" i="5" s="1"/>
  <c r="Q70" i="5" s="1"/>
  <c r="R50" i="5"/>
  <c r="R49" i="5" s="1"/>
  <c r="R55" i="5" s="1"/>
  <c r="S50" i="5"/>
  <c r="S49" i="5" s="1"/>
  <c r="P55" i="5" l="1"/>
  <c r="P58" i="5" s="1"/>
  <c r="P69" i="5" s="1"/>
  <c r="P70" i="5" s="1"/>
  <c r="O55" i="5"/>
  <c r="O58" i="5" s="1"/>
  <c r="O69" i="5" s="1"/>
  <c r="O70" i="5" s="1"/>
  <c r="R58" i="5"/>
  <c r="R69" i="5" s="1"/>
  <c r="R70" i="5" s="1"/>
  <c r="S55" i="5"/>
  <c r="S58" i="5" s="1"/>
  <c r="S69" i="5" s="1"/>
  <c r="S75" i="5" l="1"/>
  <c r="S76" i="5" s="1"/>
  <c r="S70" i="5"/>
  <c r="S77" i="5" l="1"/>
  <c r="S80" i="5" s="1"/>
  <c r="S83" i="5" s="1"/>
  <c r="J4" i="5" s="1"/>
  <c r="J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 USER</author>
  </authors>
  <commentList>
    <comment ref="O56" authorId="0" shapeId="0" xr:uid="{3DD8E532-02B9-4404-938B-5566B018DD53}">
      <text>
        <r>
          <rPr>
            <b/>
            <sz val="9"/>
            <color indexed="81"/>
            <rFont val="Tahoma"/>
            <family val="2"/>
          </rPr>
          <t xml:space="preserve">Moses Mfon: The government tax rate for tech company is 15.1%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<sst xmlns="http://schemas.openxmlformats.org/spreadsheetml/2006/main" count="207" uniqueCount="131">
  <si>
    <t>All figures in millions of U.S. Dollar except per share items.</t>
  </si>
  <si>
    <t>EBIT</t>
  </si>
  <si>
    <t>EBITDA</t>
  </si>
  <si>
    <t>Basic Shares Outstanding</t>
  </si>
  <si>
    <t>Net Income</t>
  </si>
  <si>
    <t>Income Taxes</t>
  </si>
  <si>
    <t xml:space="preserve">NVDA   67066G104   2379504   NASDAQ    Common stock    </t>
  </si>
  <si>
    <t>NVIDIA Corporation</t>
  </si>
  <si>
    <t>$949.50</t>
  </si>
  <si>
    <t>NVIDIA Corporation (NVDA)</t>
  </si>
  <si>
    <t>Operating Income</t>
  </si>
  <si>
    <t>Agenda</t>
  </si>
  <si>
    <t>x</t>
  </si>
  <si>
    <t>The Bull Case</t>
  </si>
  <si>
    <t>The Bear Case</t>
  </si>
  <si>
    <t>1. AI and data center expansion positions the company well for continued growth</t>
  </si>
  <si>
    <t>2. Dominant position in the gaming GPU market ensures a steady revenue stream</t>
  </si>
  <si>
    <t>3. Advancements in autonomous driving and edge computing present growth opportunities</t>
  </si>
  <si>
    <t>1. Supply chain issues could affect ability to meet demand</t>
  </si>
  <si>
    <t>2. Intense competition from companies like AMD could impact market share and profitability</t>
  </si>
  <si>
    <t>3. High valuation concerns</t>
  </si>
  <si>
    <t>NVIDIA DCF</t>
  </si>
  <si>
    <t>Ticker</t>
  </si>
  <si>
    <t>NVDA</t>
  </si>
  <si>
    <t>Date</t>
  </si>
  <si>
    <t>Year end</t>
  </si>
  <si>
    <t>Assumptions</t>
  </si>
  <si>
    <t>Income Statement (12/31 CYE)</t>
  </si>
  <si>
    <t>Revenue</t>
  </si>
  <si>
    <t>% growth</t>
  </si>
  <si>
    <t>--</t>
  </si>
  <si>
    <t>% of sales</t>
  </si>
  <si>
    <t>Cash Flow Items (12/31 CYE)</t>
  </si>
  <si>
    <t>D&amp;A</t>
  </si>
  <si>
    <t>CapEx</t>
  </si>
  <si>
    <t>Change in NWC</t>
  </si>
  <si>
    <t>DCF</t>
  </si>
  <si>
    <t>Switches</t>
  </si>
  <si>
    <t>Conservative</t>
  </si>
  <si>
    <t>Base</t>
  </si>
  <si>
    <t>Optimistic</t>
  </si>
  <si>
    <t>Year</t>
  </si>
  <si>
    <t>Metric</t>
  </si>
  <si>
    <t>WACC</t>
  </si>
  <si>
    <t>TGR</t>
  </si>
  <si>
    <t>Valuation</t>
  </si>
  <si>
    <t>Conservative Case</t>
  </si>
  <si>
    <t>Optimistic Case</t>
  </si>
  <si>
    <t>Taxes</t>
  </si>
  <si>
    <t>EBIAT</t>
  </si>
  <si>
    <t>Unlevered FCF</t>
  </si>
  <si>
    <t>Present Value of FCF</t>
  </si>
  <si>
    <t>Period</t>
  </si>
  <si>
    <t>Discount Period</t>
  </si>
  <si>
    <t>Terminal Value</t>
  </si>
  <si>
    <t>Present Value of Terminal Value</t>
  </si>
  <si>
    <t>Enterprise Value</t>
  </si>
  <si>
    <t>(+) Cash</t>
  </si>
  <si>
    <t>(-) Debt</t>
  </si>
  <si>
    <t>Equity Value</t>
  </si>
  <si>
    <t>Diluted Shares</t>
  </si>
  <si>
    <t>Implied Stock Price</t>
  </si>
  <si>
    <t>Tax rate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</si>
  <si>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</si>
  <si>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</si>
  <si>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</si>
  <si>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</si>
  <si>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</si>
  <si>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</si>
  <si>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</si>
  <si>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</si>
  <si>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</si>
  <si>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</si>
  <si>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</si>
  <si>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</si>
  <si>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</si>
  <si>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Implied Price Per Share</t>
  </si>
  <si>
    <t>Current Share Price</t>
  </si>
  <si>
    <t>Implied Upside / (Downside)</t>
  </si>
  <si>
    <t>Cost Of Goods Sold</t>
  </si>
  <si>
    <t>Gross Profit</t>
  </si>
  <si>
    <t>R&amp;D Expenses</t>
  </si>
  <si>
    <t>SG&amp;A Expenses</t>
  </si>
  <si>
    <t>Other Operating Income/Expenses</t>
  </si>
  <si>
    <t>Operating Expenses</t>
  </si>
  <si>
    <t>Total Non-Operating Income/Expense</t>
  </si>
  <si>
    <t>Pre-Tax Income</t>
  </si>
  <si>
    <t>Income After Taxes</t>
  </si>
  <si>
    <t>Other Income</t>
  </si>
  <si>
    <t>Income From Continuous Operations</t>
  </si>
  <si>
    <t>Income From Discontinued Operations</t>
  </si>
  <si>
    <t>Shares Outstanding</t>
  </si>
  <si>
    <t>Basic EPS</t>
  </si>
  <si>
    <t>EPS - Diluted</t>
  </si>
  <si>
    <t>Source: Macrotrends</t>
  </si>
  <si>
    <t>Net Income/Loss</t>
  </si>
  <si>
    <t>Total D&amp;A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</si>
  <si>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</si>
  <si>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</si>
  <si>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</si>
  <si>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</si>
  <si>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</si>
  <si>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</si>
  <si>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</si>
  <si>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</si>
  <si>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PP&amp;E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</si>
  <si>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</si>
  <si>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</si>
  <si>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</si>
  <si>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</si>
  <si>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</si>
  <si>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</si>
  <si>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</si>
  <si>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</si>
  <si>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</si>
  <si>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</si>
  <si>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</si>
  <si>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</si>
  <si>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</si>
  <si>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</si>
  <si>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</si>
  <si>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</si>
  <si>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</si>
  <si>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Base Case</t>
  </si>
  <si>
    <t>'27</t>
  </si>
  <si>
    <t>'28-'31</t>
  </si>
  <si>
    <t>Companies market cap</t>
  </si>
  <si>
    <t>Trading Economics</t>
  </si>
  <si>
    <t>Yahoo finance</t>
  </si>
  <si>
    <t>Damodoran</t>
  </si>
  <si>
    <t>Nvidia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</si>
</sst>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&quot;E&quot;"/>
    <numFmt numFmtId="165" formatCode="0.0%;\(0.0%\)"/>
    <numFmt numFmtId="166" formatCode="0.0%"/>
    <numFmt numFmtId="167" formatCode="0\A"/>
    <numFmt numFmtId="168" formatCode="0%;\(0%\)"/>
    <numFmt numFmtId="169" formatCode="&quot;$&quot;#,##0.00"/>
    <numFmt numFmtId="170" formatCode="0.00000%"/>
    <numFmt numFmtId="171" formatCode="#,##0_);[Red]\(#,##0\);\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9" fillId="0" borderId="0" applyNumberFormat="0" applyFill="0" applyBorder="0" applyAlignment="0" applyProtection="0"/>
  </cellStyleXfs>
  <cellXfs count="89">
    <xf numFmtId="0" fontId="0" fillId="0" borderId="0" xfId="0"/>
    <xf numFmtId="0" fontId="4" fillId="0" borderId="0" xfId="2"/>
    <xf numFmtId="0" fontId="5" fillId="0" borderId="0" xfId="2" applyFont="1" applyAlignment="1">
      <alignment horizontal="left"/>
    </xf>
    <xf numFmtId="0" fontId="8" fillId="2" borderId="0" xfId="2" applyFont="1" applyFill="1" applyAlignment="1">
      <alignment horizontal="left"/>
    </xf>
    <xf numFmtId="0" fontId="4" fillId="0" borderId="1" xfId="2" applyBorder="1"/>
    <xf numFmtId="0" fontId="4" fillId="0" borderId="2" xfId="2" applyBorder="1"/>
    <xf numFmtId="0" fontId="8" fillId="0" borderId="0" xfId="2" applyFont="1"/>
    <xf numFmtId="0" fontId="0" fillId="0" borderId="3" xfId="0" applyBorder="1"/>
    <xf numFmtId="0" fontId="9" fillId="0" borderId="3" xfId="0" applyFont="1" applyBorder="1"/>
    <xf numFmtId="0" fontId="0" fillId="0" borderId="0" xfId="0" applyAlignment="1">
      <alignment horizontal="center"/>
    </xf>
    <xf numFmtId="0" fontId="10" fillId="0" borderId="0" xfId="0" applyFont="1"/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/>
    <xf numFmtId="37" fontId="13" fillId="0" borderId="0" xfId="0" applyNumberFormat="1" applyFont="1"/>
    <xf numFmtId="0" fontId="14" fillId="0" borderId="0" xfId="0" applyFont="1"/>
    <xf numFmtId="0" fontId="14" fillId="0" borderId="0" xfId="0" quotePrefix="1" applyFont="1" applyAlignment="1">
      <alignment horizontal="right"/>
    </xf>
    <xf numFmtId="9" fontId="14" fillId="0" borderId="0" xfId="1" applyFont="1"/>
    <xf numFmtId="0" fontId="15" fillId="0" borderId="0" xfId="0" applyFont="1" applyAlignment="1">
      <alignment horizontal="center"/>
    </xf>
    <xf numFmtId="0" fontId="16" fillId="0" borderId="0" xfId="0" applyFont="1"/>
    <xf numFmtId="0" fontId="15" fillId="0" borderId="0" xfId="0" applyFont="1"/>
    <xf numFmtId="166" fontId="0" fillId="0" borderId="0" xfId="1" applyNumberFormat="1" applyFont="1" applyFill="1" applyBorder="1" applyAlignment="1">
      <alignment horizontal="center"/>
    </xf>
    <xf numFmtId="167" fontId="2" fillId="4" borderId="0" xfId="0" applyNumberFormat="1" applyFont="1" applyFill="1"/>
    <xf numFmtId="0" fontId="2" fillId="5" borderId="0" xfId="0" applyFont="1" applyFill="1"/>
    <xf numFmtId="0" fontId="3" fillId="5" borderId="0" xfId="0" applyFont="1" applyFill="1"/>
    <xf numFmtId="0" fontId="17" fillId="0" borderId="0" xfId="0" applyFont="1"/>
    <xf numFmtId="0" fontId="10" fillId="0" borderId="0" xfId="0" applyFont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6" fontId="0" fillId="3" borderId="4" xfId="1" applyNumberFormat="1" applyFont="1" applyFill="1" applyBorder="1" applyAlignment="1">
      <alignment horizontal="center"/>
    </xf>
    <xf numFmtId="3" fontId="0" fillId="0" borderId="0" xfId="0" applyNumberFormat="1"/>
    <xf numFmtId="0" fontId="0" fillId="0" borderId="5" xfId="0" applyBorder="1"/>
    <xf numFmtId="0" fontId="0" fillId="0" borderId="6" xfId="0" applyBorder="1"/>
    <xf numFmtId="0" fontId="2" fillId="6" borderId="0" xfId="0" applyFont="1" applyFill="1"/>
    <xf numFmtId="0" fontId="0" fillId="6" borderId="0" xfId="0" applyFill="1"/>
    <xf numFmtId="10" fontId="0" fillId="0" borderId="0" xfId="0" applyNumberFormat="1" applyAlignment="1">
      <alignment horizontal="right"/>
    </xf>
    <xf numFmtId="10" fontId="0" fillId="3" borderId="4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/>
    </xf>
    <xf numFmtId="37" fontId="18" fillId="0" borderId="0" xfId="0" applyNumberFormat="1" applyFont="1"/>
    <xf numFmtId="37" fontId="15" fillId="0" borderId="0" xfId="0" applyNumberFormat="1" applyFont="1"/>
    <xf numFmtId="9" fontId="14" fillId="3" borderId="4" xfId="0" applyNumberFormat="1" applyFont="1" applyFill="1" applyBorder="1" applyAlignment="1">
      <alignment horizontal="right"/>
    </xf>
    <xf numFmtId="37" fontId="0" fillId="0" borderId="6" xfId="0" applyNumberFormat="1" applyBorder="1"/>
    <xf numFmtId="37" fontId="0" fillId="0" borderId="7" xfId="0" applyNumberFormat="1" applyBorder="1"/>
    <xf numFmtId="37" fontId="0" fillId="0" borderId="0" xfId="0" applyNumberFormat="1"/>
    <xf numFmtId="37" fontId="0" fillId="0" borderId="9" xfId="0" applyNumberFormat="1" applyBorder="1"/>
    <xf numFmtId="37" fontId="0" fillId="0" borderId="10" xfId="0" applyNumberFormat="1" applyBorder="1"/>
    <xf numFmtId="37" fontId="0" fillId="0" borderId="3" xfId="0" applyNumberFormat="1" applyBorder="1"/>
    <xf numFmtId="37" fontId="0" fillId="0" borderId="12" xfId="0" applyNumberFormat="1" applyBorder="1"/>
    <xf numFmtId="169" fontId="0" fillId="0" borderId="0" xfId="0" applyNumberFormat="1"/>
    <xf numFmtId="37" fontId="13" fillId="0" borderId="0" xfId="0" applyNumberFormat="1" applyFont="1" applyAlignment="1">
      <alignment horizontal="right"/>
    </xf>
    <xf numFmtId="9" fontId="14" fillId="3" borderId="13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70" fontId="0" fillId="0" borderId="0" xfId="0" applyNumberFormat="1"/>
    <xf numFmtId="1" fontId="0" fillId="3" borderId="4" xfId="0" applyNumberFormat="1" applyFill="1" applyBorder="1" applyAlignment="1">
      <alignment horizontal="right"/>
    </xf>
    <xf numFmtId="168" fontId="0" fillId="0" borderId="0" xfId="0" applyNumberFormat="1"/>
    <xf numFmtId="0" fontId="19" fillId="0" borderId="3" xfId="3" applyBorder="1"/>
    <xf numFmtId="0" fontId="19" fillId="0" borderId="0" xfId="3"/>
    <xf numFmtId="0" fontId="20" fillId="0" borderId="3" xfId="0" applyFont="1" applyBorder="1"/>
    <xf numFmtId="14" fontId="4" fillId="0" borderId="0" xfId="2" applyNumberFormat="1"/>
    <xf numFmtId="0" fontId="4" fillId="0" borderId="0" xfId="2" applyAlignment="1">
      <alignment horizontal="left" indent="1"/>
    </xf>
    <xf numFmtId="3" fontId="4" fillId="0" borderId="0" xfId="2" applyNumberFormat="1" applyAlignment="1">
      <alignment horizontal="right"/>
    </xf>
    <xf numFmtId="3" fontId="7" fillId="0" borderId="0" xfId="2" applyNumberFormat="1" applyFont="1" applyAlignment="1">
      <alignment horizontal="right"/>
    </xf>
    <xf numFmtId="0" fontId="4" fillId="0" borderId="0" xfId="2" applyAlignment="1">
      <alignment horizontal="left"/>
    </xf>
    <xf numFmtId="0" fontId="6" fillId="0" borderId="0" xfId="2" applyFont="1" applyAlignment="1">
      <alignment horizontal="left"/>
    </xf>
    <xf numFmtId="3" fontId="6" fillId="0" borderId="0" xfId="2" applyNumberFormat="1" applyFont="1" applyAlignment="1">
      <alignment horizontal="right"/>
    </xf>
    <xf numFmtId="4" fontId="4" fillId="0" borderId="0" xfId="2" applyNumberFormat="1" applyAlignment="1">
      <alignment horizontal="right"/>
    </xf>
    <xf numFmtId="0" fontId="6" fillId="0" borderId="0" xfId="2" applyFont="1" applyAlignment="1">
      <alignment horizontal="left" indent="3"/>
    </xf>
    <xf numFmtId="4" fontId="6" fillId="0" borderId="0" xfId="2" applyNumberFormat="1" applyFont="1" applyAlignment="1">
      <alignment horizontal="right"/>
    </xf>
    <xf numFmtId="0" fontId="4" fillId="0" borderId="0" xfId="2" applyAlignment="1">
      <alignment horizontal="left" indent="4"/>
    </xf>
    <xf numFmtId="0" fontId="8" fillId="7" borderId="0" xfId="2" applyFont="1" applyFill="1" applyAlignment="1">
      <alignment horizontal="left"/>
    </xf>
    <xf numFmtId="0" fontId="4" fillId="7" borderId="0" xfId="2" applyFill="1"/>
    <xf numFmtId="14" fontId="4" fillId="7" borderId="0" xfId="2" applyNumberFormat="1" applyFill="1"/>
    <xf numFmtId="0" fontId="6" fillId="0" borderId="0" xfId="2" applyFont="1" applyAlignment="1">
      <alignment horizontal="left" indent="6"/>
    </xf>
    <xf numFmtId="0" fontId="4" fillId="0" borderId="0" xfId="2" applyAlignment="1">
      <alignment horizontal="left" indent="7"/>
    </xf>
    <xf numFmtId="171" fontId="4" fillId="0" borderId="0" xfId="2" applyNumberFormat="1"/>
    <xf numFmtId="9" fontId="14" fillId="8" borderId="0" xfId="1" applyFont="1" applyFill="1"/>
    <xf numFmtId="0" fontId="0" fillId="8" borderId="0" xfId="0" applyFill="1"/>
    <xf numFmtId="37" fontId="21" fillId="8" borderId="0" xfId="0" applyNumberFormat="1" applyFont="1" applyFill="1"/>
    <xf numFmtId="9" fontId="14" fillId="0" borderId="0" xfId="1" applyFont="1" applyFill="1"/>
    <xf numFmtId="9" fontId="15" fillId="8" borderId="0" xfId="0" applyNumberFormat="1" applyFont="1" applyFill="1"/>
    <xf numFmtId="0" fontId="16" fillId="8" borderId="0" xfId="0" applyFont="1" applyFill="1"/>
    <xf numFmtId="0" fontId="19" fillId="0" borderId="0" xfId="3" applyAlignment="1">
      <alignment horizontal="left" vertical="top"/>
    </xf>
    <xf numFmtId="0" fontId="0" fillId="0" borderId="0" xfId="0" applyAlignment="1">
      <alignment horizontal="left" vertical="top"/>
    </xf>
  </cellXfs>
  <cellStyles count="4">
    <cellStyle name="Hyperlink" xfId="3" builtinId="8"/>
    <cellStyle name="Normal" xfId="0" builtinId="0"/>
    <cellStyle name="Normal 2" xfId="2" xr:uid="{C75CB8D0-7B19-4A22-86B3-1EC2C69D4BF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BD8C218-901A-4600-949E-1964BD6F40C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0c6b709-d802-41e8-9525-3f9af19d050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6AAD482-98D4-4742-93B7-1FE68D77623D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radingeconomics.com/united-states/government-bond-yield" TargetMode="External"/><Relationship Id="rId2" Type="http://schemas.openxmlformats.org/officeDocument/2006/relationships/hyperlink" Target="https://companiesmarketcap.com/nvidia/total-debt/" TargetMode="External"/><Relationship Id="rId1" Type="http://schemas.openxmlformats.org/officeDocument/2006/relationships/hyperlink" Target="https://nvidianews.nvidia.com/news/nvidia-announces-financial-results-for-first-quarter-fiscal-2027" TargetMode="External"/><Relationship Id="rId5" Type="http://schemas.openxmlformats.org/officeDocument/2006/relationships/hyperlink" Target="https://pages.stern.nyu.edu/~adamodar/New_Home_Page/datafile/ctryprem.html" TargetMode="External"/><Relationship Id="rId4" Type="http://schemas.openxmlformats.org/officeDocument/2006/relationships/hyperlink" Target="https://finance.yahoo.com/quote/NV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35A8-0095-437D-BC6D-A0725918BE6F}">
  <dimension ref="A2:H25"/>
  <sheetViews>
    <sheetView showGridLines="0" zoomScaleNormal="100" workbookViewId="0">
      <selection activeCell="A16" sqref="A16"/>
    </sheetView>
  </sheetViews>
  <sheetFormatPr defaultColWidth="8.77734375" defaultRowHeight="14.4" x14ac:dyDescent="0.3"/>
  <cols>
    <col min="1" max="1" width="3.6640625" customWidth="1"/>
  </cols>
  <sheetData>
    <row r="2" spans="1:8" s="7" customFormat="1" ht="15.6" x14ac:dyDescent="0.3">
      <c r="B2" s="63"/>
      <c r="H2" s="61"/>
    </row>
    <row r="4" spans="1:8" x14ac:dyDescent="0.3">
      <c r="A4" s="9" t="s">
        <v>12</v>
      </c>
      <c r="B4" s="10" t="s">
        <v>11</v>
      </c>
    </row>
    <row r="5" spans="1:8" x14ac:dyDescent="0.3">
      <c r="A5" s="9"/>
    </row>
    <row r="6" spans="1:8" x14ac:dyDescent="0.3">
      <c r="A6" s="9" t="s">
        <v>12</v>
      </c>
      <c r="B6" s="10" t="s">
        <v>13</v>
      </c>
    </row>
    <row r="7" spans="1:8" x14ac:dyDescent="0.3">
      <c r="A7" s="9"/>
      <c r="B7" t="s">
        <v>15</v>
      </c>
      <c r="D7" s="62"/>
    </row>
    <row r="8" spans="1:8" x14ac:dyDescent="0.3">
      <c r="A8" s="9"/>
      <c r="B8" t="s">
        <v>16</v>
      </c>
    </row>
    <row r="9" spans="1:8" x14ac:dyDescent="0.3">
      <c r="A9" s="9"/>
      <c r="B9" t="s">
        <v>17</v>
      </c>
    </row>
    <row r="10" spans="1:8" x14ac:dyDescent="0.3">
      <c r="A10" s="9"/>
    </row>
    <row r="11" spans="1:8" x14ac:dyDescent="0.3">
      <c r="A11" s="9" t="s">
        <v>12</v>
      </c>
      <c r="B11" s="10" t="s">
        <v>14</v>
      </c>
    </row>
    <row r="12" spans="1:8" x14ac:dyDescent="0.3">
      <c r="A12" s="9"/>
      <c r="B12" t="s">
        <v>18</v>
      </c>
    </row>
    <row r="13" spans="1:8" x14ac:dyDescent="0.3">
      <c r="A13" s="9"/>
      <c r="B13" t="s">
        <v>19</v>
      </c>
    </row>
    <row r="14" spans="1:8" x14ac:dyDescent="0.3">
      <c r="A14" s="9"/>
      <c r="B14" t="s">
        <v>20</v>
      </c>
    </row>
    <row r="15" spans="1:8" x14ac:dyDescent="0.3">
      <c r="A15" s="9"/>
    </row>
    <row r="16" spans="1:8" x14ac:dyDescent="0.3">
      <c r="A16" s="9"/>
    </row>
    <row r="17" spans="1:7" x14ac:dyDescent="0.3">
      <c r="A17" s="9"/>
    </row>
    <row r="18" spans="1:7" x14ac:dyDescent="0.3">
      <c r="A18" s="9"/>
    </row>
    <row r="19" spans="1:7" x14ac:dyDescent="0.3">
      <c r="A19" s="9"/>
    </row>
    <row r="20" spans="1:7" x14ac:dyDescent="0.3">
      <c r="A20" s="9"/>
    </row>
    <row r="21" spans="1:7" x14ac:dyDescent="0.3">
      <c r="A21" s="9"/>
    </row>
    <row r="22" spans="1:7" x14ac:dyDescent="0.3">
      <c r="A22" s="9"/>
      <c r="B22" s="10"/>
    </row>
    <row r="23" spans="1:7" x14ac:dyDescent="0.3">
      <c r="A23" s="9"/>
    </row>
    <row r="24" spans="1:7" x14ac:dyDescent="0.3">
      <c r="A24" s="9"/>
    </row>
    <row r="25" spans="1:7" x14ac:dyDescent="0.3">
      <c r="A25" s="9"/>
      <c r="G25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6E22-E404-4D01-9F99-47401C183A45}">
  <dimension ref="A2:T83"/>
  <sheetViews>
    <sheetView showGridLines="0" topLeftCell="A61" zoomScaleNormal="100" workbookViewId="0">
      <selection activeCell="M77" sqref="M77"/>
    </sheetView>
  </sheetViews>
  <sheetFormatPr defaultColWidth="8.77734375" defaultRowHeight="14.4" outlineLevelRow="1" x14ac:dyDescent="0.3"/>
  <cols>
    <col min="1" max="1" width="1.6640625" customWidth="1"/>
    <col min="2" max="3" width="8.77734375" customWidth="1"/>
    <col min="4" max="4" width="10.6640625" customWidth="1"/>
    <col min="5" max="9" width="8.77734375" customWidth="1"/>
    <col min="10" max="10" width="9" customWidth="1"/>
    <col min="11" max="13" width="8.77734375" customWidth="1"/>
    <col min="14" max="14" width="9" customWidth="1"/>
    <col min="17" max="17" width="9.6640625" customWidth="1"/>
    <col min="18" max="18" width="9.88671875" customWidth="1"/>
    <col min="19" max="19" width="9.6640625" bestFit="1" customWidth="1"/>
  </cols>
  <sheetData>
    <row r="2" spans="1:20" s="7" customFormat="1" ht="21" x14ac:dyDescent="0.4">
      <c r="B2" s="8" t="s">
        <v>21</v>
      </c>
    </row>
    <row r="4" spans="1:20" x14ac:dyDescent="0.3">
      <c r="B4" t="s">
        <v>22</v>
      </c>
      <c r="D4" s="11" t="s">
        <v>23</v>
      </c>
      <c r="F4" t="s">
        <v>76</v>
      </c>
      <c r="J4" s="54">
        <f ca="1">S83</f>
        <v>292.37989933509976</v>
      </c>
      <c r="N4" s="54"/>
    </row>
    <row r="5" spans="1:20" x14ac:dyDescent="0.3">
      <c r="B5" t="s">
        <v>24</v>
      </c>
      <c r="D5" s="12">
        <v>46161</v>
      </c>
      <c r="F5" t="s">
        <v>77</v>
      </c>
      <c r="J5" s="54">
        <v>220.61</v>
      </c>
      <c r="N5" s="54"/>
    </row>
    <row r="6" spans="1:20" x14ac:dyDescent="0.3">
      <c r="B6" t="s">
        <v>25</v>
      </c>
      <c r="D6" s="12">
        <v>46053</v>
      </c>
      <c r="F6" t="s">
        <v>78</v>
      </c>
      <c r="J6" s="60">
        <f ca="1">J4/J5-1</f>
        <v>0.32532477827432915</v>
      </c>
      <c r="N6" s="54"/>
    </row>
    <row r="8" spans="1:20" x14ac:dyDescent="0.3">
      <c r="A8" s="9" t="s">
        <v>12</v>
      </c>
      <c r="B8" s="13" t="s">
        <v>26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4.95" customHeight="1" x14ac:dyDescent="0.3"/>
    <row r="10" spans="1:20" x14ac:dyDescent="0.3">
      <c r="B10" s="24" t="s">
        <v>37</v>
      </c>
      <c r="C10" s="25"/>
      <c r="D10" s="25"/>
      <c r="E10" s="25"/>
      <c r="G10" s="24" t="s">
        <v>38</v>
      </c>
      <c r="H10" s="25"/>
      <c r="I10" s="25"/>
      <c r="J10" s="25"/>
      <c r="L10" s="24" t="s">
        <v>39</v>
      </c>
      <c r="M10" s="25"/>
      <c r="N10" s="25"/>
      <c r="O10" s="25"/>
      <c r="Q10" s="24" t="s">
        <v>40</v>
      </c>
      <c r="R10" s="25"/>
      <c r="S10" s="25"/>
      <c r="T10" s="25"/>
    </row>
    <row r="11" spans="1:20" x14ac:dyDescent="0.3">
      <c r="B11" s="10" t="s">
        <v>26</v>
      </c>
      <c r="G11" s="10" t="s">
        <v>26</v>
      </c>
      <c r="H11" s="26"/>
      <c r="I11" s="27" t="s">
        <v>41</v>
      </c>
      <c r="J11" s="27" t="s">
        <v>42</v>
      </c>
      <c r="L11" s="10" t="s">
        <v>26</v>
      </c>
      <c r="M11" s="26"/>
      <c r="N11" s="27" t="s">
        <v>41</v>
      </c>
      <c r="O11" s="27" t="s">
        <v>42</v>
      </c>
      <c r="Q11" s="10" t="s">
        <v>26</v>
      </c>
      <c r="R11" s="26"/>
      <c r="S11" s="27" t="s">
        <v>41</v>
      </c>
      <c r="T11" s="27" t="s">
        <v>42</v>
      </c>
    </row>
    <row r="12" spans="1:20" x14ac:dyDescent="0.3">
      <c r="B12" t="s">
        <v>28</v>
      </c>
      <c r="E12" s="11">
        <v>3</v>
      </c>
      <c r="F12" s="9"/>
      <c r="G12" t="s">
        <v>28</v>
      </c>
      <c r="I12" s="43" t="s">
        <v>124</v>
      </c>
      <c r="J12" s="28">
        <v>-0.05</v>
      </c>
      <c r="L12" t="s">
        <v>28</v>
      </c>
      <c r="N12" s="43" t="s">
        <v>124</v>
      </c>
      <c r="O12" s="28"/>
      <c r="Q12" t="s">
        <v>28</v>
      </c>
      <c r="S12" s="43" t="s">
        <v>124</v>
      </c>
      <c r="T12" s="28">
        <v>0.1</v>
      </c>
    </row>
    <row r="13" spans="1:20" x14ac:dyDescent="0.3">
      <c r="B13" t="s">
        <v>1</v>
      </c>
      <c r="E13" s="11">
        <v>3</v>
      </c>
      <c r="F13" s="9"/>
      <c r="G13" t="s">
        <v>28</v>
      </c>
      <c r="I13" s="43" t="s">
        <v>125</v>
      </c>
      <c r="J13" s="28">
        <v>-0.35</v>
      </c>
      <c r="L13" t="s">
        <v>28</v>
      </c>
      <c r="N13" s="43" t="s">
        <v>125</v>
      </c>
      <c r="O13" s="28">
        <v>-0.3</v>
      </c>
      <c r="Q13" t="s">
        <v>28</v>
      </c>
      <c r="S13" s="43" t="s">
        <v>125</v>
      </c>
      <c r="T13" s="28">
        <v>-0.25</v>
      </c>
    </row>
    <row r="14" spans="1:20" x14ac:dyDescent="0.3">
      <c r="B14" t="s">
        <v>43</v>
      </c>
      <c r="E14" s="11">
        <v>3</v>
      </c>
      <c r="F14" s="9"/>
      <c r="G14" t="s">
        <v>1</v>
      </c>
      <c r="I14" s="43" t="s">
        <v>124</v>
      </c>
      <c r="J14" s="28">
        <v>0.03</v>
      </c>
      <c r="Q14" t="s">
        <v>1</v>
      </c>
      <c r="S14" s="43" t="s">
        <v>124</v>
      </c>
      <c r="T14" s="28">
        <v>2.5000000000000001E-2</v>
      </c>
    </row>
    <row r="15" spans="1:20" x14ac:dyDescent="0.3">
      <c r="B15" t="s">
        <v>44</v>
      </c>
      <c r="E15" s="11">
        <v>3</v>
      </c>
      <c r="F15" s="9"/>
      <c r="G15" t="s">
        <v>1</v>
      </c>
      <c r="I15" s="43" t="s">
        <v>125</v>
      </c>
      <c r="J15" s="28">
        <v>0.5</v>
      </c>
      <c r="Q15" t="s">
        <v>1</v>
      </c>
      <c r="S15" s="43" t="s">
        <v>125</v>
      </c>
      <c r="T15" s="28">
        <v>0.68</v>
      </c>
    </row>
    <row r="16" spans="1:20" x14ac:dyDescent="0.3">
      <c r="F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B17" s="10" t="s">
        <v>45</v>
      </c>
      <c r="F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B18" t="s">
        <v>43</v>
      </c>
      <c r="E18" s="29">
        <f>CHOOSE(E14,J18,O18,T18)</f>
        <v>0.12</v>
      </c>
      <c r="F18" s="9"/>
      <c r="G18" t="s">
        <v>43</v>
      </c>
      <c r="J18" s="29">
        <v>0.16</v>
      </c>
      <c r="K18" s="9"/>
      <c r="L18" t="s">
        <v>43</v>
      </c>
      <c r="O18" s="29">
        <f>WACC!F22</f>
        <v>0.14366693154983534</v>
      </c>
      <c r="P18" s="9"/>
      <c r="Q18" t="s">
        <v>43</v>
      </c>
      <c r="T18" s="29">
        <v>0.12</v>
      </c>
    </row>
    <row r="19" spans="1:20" x14ac:dyDescent="0.3">
      <c r="B19" t="s">
        <v>44</v>
      </c>
      <c r="E19" s="29">
        <f>CHOOSE(E15,J19,O19,T19)</f>
        <v>0.03</v>
      </c>
      <c r="G19" t="s">
        <v>44</v>
      </c>
      <c r="J19" s="29">
        <v>0.02</v>
      </c>
      <c r="K19" s="9"/>
      <c r="L19" t="s">
        <v>44</v>
      </c>
      <c r="O19" s="29">
        <v>2.5000000000000001E-2</v>
      </c>
      <c r="P19" s="9"/>
      <c r="Q19" t="s">
        <v>44</v>
      </c>
      <c r="T19" s="29">
        <v>0.03</v>
      </c>
    </row>
    <row r="20" spans="1:20" x14ac:dyDescent="0.3">
      <c r="E20" s="22"/>
      <c r="J20" s="22"/>
      <c r="K20" s="9"/>
      <c r="O20" s="22"/>
      <c r="P20" s="9"/>
      <c r="T20" s="22"/>
    </row>
    <row r="21" spans="1:20" outlineLevel="1" x14ac:dyDescent="0.3">
      <c r="A21" s="9" t="s">
        <v>12</v>
      </c>
      <c r="B21" s="13" t="s">
        <v>27</v>
      </c>
      <c r="C21" s="13"/>
      <c r="D21" s="13"/>
      <c r="E21" s="23">
        <v>2017</v>
      </c>
      <c r="F21" s="23">
        <f>E21+1</f>
        <v>2018</v>
      </c>
      <c r="G21" s="23">
        <f t="shared" ref="G21:R21" si="0">F21+1</f>
        <v>2019</v>
      </c>
      <c r="H21" s="23">
        <f t="shared" si="0"/>
        <v>2020</v>
      </c>
      <c r="I21" s="23">
        <f t="shared" si="0"/>
        <v>2021</v>
      </c>
      <c r="J21" s="23">
        <f t="shared" si="0"/>
        <v>2022</v>
      </c>
      <c r="K21" s="23">
        <f t="shared" si="0"/>
        <v>2023</v>
      </c>
      <c r="L21" s="23">
        <f t="shared" si="0"/>
        <v>2024</v>
      </c>
      <c r="M21" s="23">
        <f t="shared" si="0"/>
        <v>2025</v>
      </c>
      <c r="N21" s="23">
        <f t="shared" si="0"/>
        <v>2026</v>
      </c>
      <c r="O21" s="14">
        <f t="shared" si="0"/>
        <v>2027</v>
      </c>
      <c r="P21" s="14">
        <f t="shared" si="0"/>
        <v>2028</v>
      </c>
      <c r="Q21" s="14">
        <f t="shared" si="0"/>
        <v>2029</v>
      </c>
      <c r="R21" s="14">
        <f t="shared" si="0"/>
        <v>2030</v>
      </c>
      <c r="S21" s="14">
        <f t="shared" ref="S21" si="1">R21+1</f>
        <v>2031</v>
      </c>
      <c r="T21" s="21"/>
    </row>
    <row r="22" spans="1:20" outlineLevel="1" x14ac:dyDescent="0.3">
      <c r="A22" s="9"/>
      <c r="B22" t="s">
        <v>28</v>
      </c>
      <c r="E22" s="55">
        <f>IS!F10</f>
        <v>6910</v>
      </c>
      <c r="F22" s="55">
        <f>IS!G10</f>
        <v>9714</v>
      </c>
      <c r="G22" s="55">
        <f>IS!H10</f>
        <v>11716</v>
      </c>
      <c r="H22" s="55">
        <f>IS!I10</f>
        <v>10918</v>
      </c>
      <c r="I22" s="55">
        <f>IS!J10</f>
        <v>16675</v>
      </c>
      <c r="J22" s="55">
        <f>IS!K10</f>
        <v>26914</v>
      </c>
      <c r="K22" s="55">
        <f>IS!L10</f>
        <v>26974</v>
      </c>
      <c r="L22" s="55">
        <f>IS!M10</f>
        <v>60922</v>
      </c>
      <c r="M22" s="55">
        <f>IS!N10</f>
        <v>130497</v>
      </c>
      <c r="N22" s="55">
        <f>IS!O10</f>
        <v>215938</v>
      </c>
      <c r="O22" s="83">
        <f>N22*(O23+1)</f>
        <v>374504.59913065098</v>
      </c>
      <c r="P22" s="83">
        <f t="shared" ref="P22:S22" si="2">O22*(P23+1)</f>
        <v>658518.35787133116</v>
      </c>
      <c r="Q22" s="83">
        <f t="shared" si="2"/>
        <v>1257506.9177913261</v>
      </c>
      <c r="R22" s="83">
        <f t="shared" si="2"/>
        <v>2313575.5925389002</v>
      </c>
      <c r="S22" s="83">
        <f t="shared" si="2"/>
        <v>4116699.8137739808</v>
      </c>
      <c r="T22" s="21"/>
    </row>
    <row r="23" spans="1:20" outlineLevel="1" x14ac:dyDescent="0.3">
      <c r="A23" s="9"/>
      <c r="B23" s="16" t="s">
        <v>29</v>
      </c>
      <c r="C23" s="16"/>
      <c r="D23" s="16"/>
      <c r="E23" s="17" t="s">
        <v>30</v>
      </c>
      <c r="F23" s="18">
        <f>F22/E22-1</f>
        <v>0.40578871201157751</v>
      </c>
      <c r="G23" s="18">
        <f t="shared" ref="G23:N23" si="3">G22/F22-1</f>
        <v>0.20609429689108505</v>
      </c>
      <c r="H23" s="18">
        <f t="shared" si="3"/>
        <v>-6.8111983612154314E-2</v>
      </c>
      <c r="I23" s="18">
        <f t="shared" si="3"/>
        <v>0.52729437625938824</v>
      </c>
      <c r="J23" s="18">
        <f t="shared" si="3"/>
        <v>0.61403298350824587</v>
      </c>
      <c r="K23" s="18">
        <f t="shared" si="3"/>
        <v>2.2293230289069932E-3</v>
      </c>
      <c r="L23" s="18">
        <f t="shared" si="3"/>
        <v>1.2585452658115224</v>
      </c>
      <c r="M23" s="18">
        <f t="shared" si="3"/>
        <v>1.1420340763599355</v>
      </c>
      <c r="N23" s="18">
        <f t="shared" si="3"/>
        <v>0.65473535790094783</v>
      </c>
      <c r="O23" s="81">
        <f>AVERAGE(J23:N23)</f>
        <v>0.73431540132191164</v>
      </c>
      <c r="P23" s="81">
        <f>AVERAGE(K23:O23)</f>
        <v>0.75837188488464491</v>
      </c>
      <c r="Q23" s="81">
        <f>AVERAGE(L23:P23)</f>
        <v>0.90960039725579234</v>
      </c>
      <c r="R23" s="81">
        <f>AVERAGE(M23:Q23)</f>
        <v>0.83981142354464633</v>
      </c>
      <c r="S23" s="81">
        <f>AVERAGE(N23:R23)</f>
        <v>0.77936689298158868</v>
      </c>
      <c r="T23" s="21"/>
    </row>
    <row r="24" spans="1:20" outlineLevel="1" x14ac:dyDescent="0.3">
      <c r="A24" s="9"/>
      <c r="O24" s="82"/>
      <c r="P24" s="82"/>
      <c r="Q24" s="82"/>
      <c r="R24" s="82"/>
      <c r="S24" s="82"/>
      <c r="T24" s="21"/>
    </row>
    <row r="25" spans="1:20" outlineLevel="1" x14ac:dyDescent="0.3">
      <c r="A25" s="9"/>
      <c r="B25" t="s">
        <v>1</v>
      </c>
      <c r="E25" s="15">
        <f>IS!F27</f>
        <v>1934</v>
      </c>
      <c r="F25" s="15">
        <f>IS!G27</f>
        <v>3210</v>
      </c>
      <c r="G25" s="15">
        <f>IS!H27</f>
        <v>3804</v>
      </c>
      <c r="H25" s="15">
        <f>IS!I27</f>
        <v>2846</v>
      </c>
      <c r="I25" s="15">
        <f>IS!J27</f>
        <v>4532</v>
      </c>
      <c r="J25" s="15">
        <f>IS!K27</f>
        <v>10041</v>
      </c>
      <c r="K25" s="15">
        <f>IS!L27</f>
        <v>4224</v>
      </c>
      <c r="L25" s="15">
        <f>IS!M27</f>
        <v>32972</v>
      </c>
      <c r="M25" s="15">
        <f>IS!N27</f>
        <v>81453</v>
      </c>
      <c r="N25" s="15">
        <f>IS!O27</f>
        <v>130387</v>
      </c>
      <c r="O25" s="83">
        <f>O26*O22</f>
        <v>220858.9369476893</v>
      </c>
      <c r="P25" s="83">
        <f t="shared" ref="P25:S25" si="4">P26*P22</f>
        <v>331305.88424415665</v>
      </c>
      <c r="Q25" s="83">
        <f t="shared" si="4"/>
        <v>719810.29831540678</v>
      </c>
      <c r="R25" s="83">
        <f t="shared" si="4"/>
        <v>1338749.1309140627</v>
      </c>
      <c r="S25" s="83">
        <f t="shared" si="4"/>
        <v>2344642.6156331995</v>
      </c>
      <c r="T25" s="21"/>
    </row>
    <row r="26" spans="1:20" outlineLevel="1" x14ac:dyDescent="0.3">
      <c r="A26" s="9"/>
      <c r="B26" s="16" t="s">
        <v>31</v>
      </c>
      <c r="C26" s="16"/>
      <c r="D26" s="16"/>
      <c r="E26" s="18">
        <f>E25/E22</f>
        <v>0.27988422575976846</v>
      </c>
      <c r="F26" s="18">
        <f t="shared" ref="F26:N26" si="5">F25/F22</f>
        <v>0.33045089561457691</v>
      </c>
      <c r="G26" s="18">
        <f t="shared" si="5"/>
        <v>0.32468419255718678</v>
      </c>
      <c r="H26" s="18">
        <f t="shared" si="5"/>
        <v>0.2606704524638212</v>
      </c>
      <c r="I26" s="18">
        <f t="shared" si="5"/>
        <v>0.27178410794602698</v>
      </c>
      <c r="J26" s="18">
        <f t="shared" si="5"/>
        <v>0.37307720888756779</v>
      </c>
      <c r="K26" s="18">
        <f t="shared" si="5"/>
        <v>0.1565952398606065</v>
      </c>
      <c r="L26" s="18">
        <f t="shared" si="5"/>
        <v>0.54121663766783756</v>
      </c>
      <c r="M26" s="18">
        <f t="shared" si="5"/>
        <v>0.62417526839697468</v>
      </c>
      <c r="N26" s="18">
        <f t="shared" si="5"/>
        <v>0.60381683631412719</v>
      </c>
      <c r="O26" s="81">
        <f>AVERAGE(L26:N26)</f>
        <v>0.58973624745964648</v>
      </c>
      <c r="P26" s="81">
        <f t="shared" ref="P26:S26" si="6">AVERAGE(K26:O26)</f>
        <v>0.50310804593983849</v>
      </c>
      <c r="Q26" s="81">
        <f t="shared" si="6"/>
        <v>0.57241060715568481</v>
      </c>
      <c r="R26" s="81">
        <f t="shared" si="6"/>
        <v>0.57864940105325435</v>
      </c>
      <c r="S26" s="81">
        <f t="shared" si="6"/>
        <v>0.56954422758451029</v>
      </c>
      <c r="T26" s="21"/>
    </row>
    <row r="27" spans="1:20" outlineLevel="1" x14ac:dyDescent="0.3">
      <c r="A27" s="9"/>
      <c r="O27" s="82"/>
      <c r="P27" s="82"/>
      <c r="Q27" s="82"/>
      <c r="R27" s="82"/>
      <c r="S27" s="82"/>
      <c r="T27" s="21"/>
    </row>
    <row r="28" spans="1:20" outlineLevel="1" x14ac:dyDescent="0.3">
      <c r="A28" s="9"/>
      <c r="B28" t="s">
        <v>48</v>
      </c>
      <c r="E28" s="15">
        <f>IS!F20</f>
        <v>239</v>
      </c>
      <c r="F28" s="15">
        <f>IS!G20</f>
        <v>149</v>
      </c>
      <c r="G28" s="15">
        <f>IS!H20</f>
        <v>-245</v>
      </c>
      <c r="H28" s="15">
        <f>IS!I20</f>
        <v>174</v>
      </c>
      <c r="I28" s="15">
        <f>IS!J20</f>
        <v>77</v>
      </c>
      <c r="J28" s="15">
        <f>IS!K20</f>
        <v>189</v>
      </c>
      <c r="K28" s="15">
        <f>IS!L20</f>
        <v>-187</v>
      </c>
      <c r="L28" s="15">
        <f>IS!M20</f>
        <v>4058</v>
      </c>
      <c r="M28" s="15">
        <f>IS!N20</f>
        <v>11146</v>
      </c>
      <c r="N28" s="15">
        <f>IS!O20</f>
        <v>21383</v>
      </c>
      <c r="O28" s="83">
        <f>O25*O29</f>
        <v>33128.840542153397</v>
      </c>
      <c r="P28" s="83">
        <f t="shared" ref="P28:S28" si="7">P25*P29</f>
        <v>49695.882636623493</v>
      </c>
      <c r="Q28" s="83">
        <f t="shared" si="7"/>
        <v>107971.54474731101</v>
      </c>
      <c r="R28" s="83">
        <f t="shared" si="7"/>
        <v>200812.3696371094</v>
      </c>
      <c r="S28" s="83">
        <f t="shared" si="7"/>
        <v>351696.39234497992</v>
      </c>
      <c r="T28" s="21"/>
    </row>
    <row r="29" spans="1:20" outlineLevel="1" x14ac:dyDescent="0.3">
      <c r="A29" s="9"/>
      <c r="B29" s="16" t="s">
        <v>62</v>
      </c>
      <c r="C29" s="16"/>
      <c r="D29" s="16"/>
      <c r="E29" s="84">
        <f>E28/E25</f>
        <v>0.12357807652533609</v>
      </c>
      <c r="F29" s="84">
        <f t="shared" ref="F29:N29" si="8">F28/F25</f>
        <v>4.641744548286604E-2</v>
      </c>
      <c r="G29" s="84">
        <f t="shared" si="8"/>
        <v>-6.4405888538380654E-2</v>
      </c>
      <c r="H29" s="84">
        <f t="shared" si="8"/>
        <v>6.1138439915671118E-2</v>
      </c>
      <c r="I29" s="84">
        <f t="shared" si="8"/>
        <v>1.6990291262135922E-2</v>
      </c>
      <c r="J29" s="84">
        <f t="shared" si="8"/>
        <v>1.8822826411711981E-2</v>
      </c>
      <c r="K29" s="84">
        <f t="shared" si="8"/>
        <v>-4.4270833333333336E-2</v>
      </c>
      <c r="L29" s="84">
        <f t="shared" si="8"/>
        <v>0.12307412349872619</v>
      </c>
      <c r="M29" s="84">
        <f t="shared" si="8"/>
        <v>0.13683964985942815</v>
      </c>
      <c r="N29" s="84">
        <f t="shared" si="8"/>
        <v>0.16399641068511431</v>
      </c>
      <c r="O29" s="81">
        <v>0.15</v>
      </c>
      <c r="P29" s="81">
        <v>0.15</v>
      </c>
      <c r="Q29" s="81">
        <v>0.15</v>
      </c>
      <c r="R29" s="81">
        <v>0.15</v>
      </c>
      <c r="S29" s="81">
        <v>0.15</v>
      </c>
      <c r="T29" s="21"/>
    </row>
    <row r="30" spans="1:20" outlineLevel="1" x14ac:dyDescent="0.3">
      <c r="A30" s="9"/>
      <c r="O30" s="82"/>
      <c r="P30" s="82"/>
      <c r="Q30" s="82"/>
      <c r="R30" s="82"/>
      <c r="S30" s="82"/>
      <c r="T30" s="21"/>
    </row>
    <row r="31" spans="1:20" outlineLevel="1" x14ac:dyDescent="0.3">
      <c r="A31" s="9" t="s">
        <v>12</v>
      </c>
      <c r="B31" s="13" t="s">
        <v>32</v>
      </c>
      <c r="C31" s="13"/>
      <c r="D31" s="13"/>
      <c r="E31" s="23">
        <f>E21</f>
        <v>2017</v>
      </c>
      <c r="F31" s="23">
        <f t="shared" ref="F31:M31" si="9">F21</f>
        <v>2018</v>
      </c>
      <c r="G31" s="23">
        <f t="shared" si="9"/>
        <v>2019</v>
      </c>
      <c r="H31" s="23">
        <f t="shared" si="9"/>
        <v>2020</v>
      </c>
      <c r="I31" s="23">
        <f t="shared" si="9"/>
        <v>2021</v>
      </c>
      <c r="J31" s="23">
        <f t="shared" si="9"/>
        <v>2022</v>
      </c>
      <c r="K31" s="23">
        <f t="shared" si="9"/>
        <v>2023</v>
      </c>
      <c r="L31" s="23">
        <f t="shared" si="9"/>
        <v>2024</v>
      </c>
      <c r="M31" s="23">
        <f t="shared" si="9"/>
        <v>2025</v>
      </c>
      <c r="N31" s="23">
        <f t="shared" ref="N31:R31" si="10">M31+1</f>
        <v>2026</v>
      </c>
      <c r="O31" s="14">
        <f t="shared" si="10"/>
        <v>2027</v>
      </c>
      <c r="P31" s="14">
        <f t="shared" si="10"/>
        <v>2028</v>
      </c>
      <c r="Q31" s="14">
        <f t="shared" si="10"/>
        <v>2029</v>
      </c>
      <c r="R31" s="14">
        <f t="shared" si="10"/>
        <v>2030</v>
      </c>
      <c r="S31" s="14">
        <f t="shared" ref="S31" si="11">R31+1</f>
        <v>2031</v>
      </c>
      <c r="T31" s="21"/>
    </row>
    <row r="32" spans="1:20" s="21" customFormat="1" ht="14.55" customHeight="1" outlineLevel="1" x14ac:dyDescent="0.3">
      <c r="A32" s="19"/>
      <c r="B32" t="s">
        <v>33</v>
      </c>
      <c r="C32"/>
      <c r="D32" s="20"/>
      <c r="E32" s="15">
        <f>CFS!F12</f>
        <v>187</v>
      </c>
      <c r="F32" s="15">
        <f>CFS!G12</f>
        <v>199</v>
      </c>
      <c r="G32" s="15">
        <f>CFS!H12</f>
        <v>262</v>
      </c>
      <c r="H32" s="15">
        <f>CFS!I12</f>
        <v>381</v>
      </c>
      <c r="I32" s="15">
        <f>CFS!J12</f>
        <v>1098</v>
      </c>
      <c r="J32" s="15">
        <f>CFS!K12</f>
        <v>1174</v>
      </c>
      <c r="K32" s="15">
        <f>CFS!L12</f>
        <v>1544</v>
      </c>
      <c r="L32" s="15">
        <f>CFS!M12</f>
        <v>1508</v>
      </c>
      <c r="M32" s="15">
        <f>CFS!N12</f>
        <v>1864</v>
      </c>
      <c r="N32" s="15">
        <f>CFS!O12</f>
        <v>2843</v>
      </c>
      <c r="O32" s="83">
        <f>O22*O33</f>
        <v>11464.58632578009</v>
      </c>
      <c r="P32" s="83">
        <f t="shared" ref="P32:S32" si="12">P22*P33</f>
        <v>18445.837972006815</v>
      </c>
      <c r="Q32" s="83">
        <f t="shared" si="12"/>
        <v>27872.999399517834</v>
      </c>
      <c r="R32" s="83">
        <f t="shared" si="12"/>
        <v>50083.705126736088</v>
      </c>
      <c r="S32" s="83">
        <f t="shared" si="12"/>
        <v>95180.276918228323</v>
      </c>
    </row>
    <row r="33" spans="1:19" s="21" customFormat="1" outlineLevel="1" x14ac:dyDescent="0.3">
      <c r="A33" s="19"/>
      <c r="B33" t="s">
        <v>31</v>
      </c>
      <c r="C33"/>
      <c r="D33" s="20"/>
      <c r="E33" s="18">
        <f>E32/E22</f>
        <v>2.7062228654124457E-2</v>
      </c>
      <c r="F33" s="18">
        <f t="shared" ref="F33:N33" si="13">F32/F22</f>
        <v>2.0485896644018942E-2</v>
      </c>
      <c r="G33" s="18">
        <f t="shared" si="13"/>
        <v>2.2362581085694777E-2</v>
      </c>
      <c r="H33" s="18">
        <f t="shared" si="13"/>
        <v>3.4896501190694269E-2</v>
      </c>
      <c r="I33" s="18">
        <f t="shared" si="13"/>
        <v>6.5847076461769113E-2</v>
      </c>
      <c r="J33" s="18">
        <f t="shared" si="13"/>
        <v>4.362042059894479E-2</v>
      </c>
      <c r="K33" s="18">
        <f t="shared" si="13"/>
        <v>5.7240305479350488E-2</v>
      </c>
      <c r="L33" s="18">
        <f t="shared" si="13"/>
        <v>2.4752962804898065E-2</v>
      </c>
      <c r="M33" s="18">
        <f t="shared" si="13"/>
        <v>1.4283853268657517E-2</v>
      </c>
      <c r="N33" s="18">
        <f t="shared" si="13"/>
        <v>1.3165816113884541E-2</v>
      </c>
      <c r="O33" s="85">
        <f>AVERAGE(J33:N33)</f>
        <v>3.0612671653147079E-2</v>
      </c>
      <c r="P33" s="85">
        <f t="shared" ref="P33:S33" si="14">AVERAGE(K33:O33)</f>
        <v>2.8011121863987538E-2</v>
      </c>
      <c r="Q33" s="85">
        <f t="shared" si="14"/>
        <v>2.2165285140914946E-2</v>
      </c>
      <c r="R33" s="85">
        <f t="shared" si="14"/>
        <v>2.164774960811832E-2</v>
      </c>
      <c r="S33" s="85">
        <f t="shared" si="14"/>
        <v>2.3120528876010488E-2</v>
      </c>
    </row>
    <row r="34" spans="1:19" s="21" customFormat="1" outlineLevel="1" x14ac:dyDescent="0.3">
      <c r="A34" s="19"/>
      <c r="B34"/>
      <c r="C3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86"/>
      <c r="P34" s="86"/>
      <c r="Q34" s="86"/>
      <c r="R34" s="86"/>
      <c r="S34" s="86"/>
    </row>
    <row r="35" spans="1:19" s="21" customFormat="1" outlineLevel="1" x14ac:dyDescent="0.3">
      <c r="A35" s="19"/>
      <c r="B35" t="s">
        <v>34</v>
      </c>
      <c r="C35"/>
      <c r="D35" s="20"/>
      <c r="E35" s="15">
        <f>-CFS!F21</f>
        <v>169</v>
      </c>
      <c r="F35" s="15">
        <f>-CFS!G21</f>
        <v>591</v>
      </c>
      <c r="G35" s="15">
        <f>-CFS!H21</f>
        <v>600</v>
      </c>
      <c r="H35" s="15">
        <f>-CFS!I21</f>
        <v>489</v>
      </c>
      <c r="I35" s="15">
        <f>-CFS!J21</f>
        <v>1128</v>
      </c>
      <c r="J35" s="15">
        <f>-CFS!K21</f>
        <v>976</v>
      </c>
      <c r="K35" s="15">
        <f>-CFS!L21</f>
        <v>1833</v>
      </c>
      <c r="L35" s="15">
        <f>-CFS!M21</f>
        <v>1069</v>
      </c>
      <c r="M35" s="15">
        <f>-CFS!N21</f>
        <v>3236</v>
      </c>
      <c r="N35" s="15">
        <f>-CFS!O21</f>
        <v>6042</v>
      </c>
      <c r="O35" s="83">
        <f>O22*O36</f>
        <v>13073.413786299659</v>
      </c>
      <c r="P35" s="83">
        <f t="shared" ref="P35:S35" si="15">P22*P36</f>
        <v>22809.451433562317</v>
      </c>
      <c r="Q35" s="83">
        <f t="shared" si="15"/>
        <v>35177.717917014772</v>
      </c>
      <c r="R35" s="83">
        <f t="shared" si="15"/>
        <v>69545.16589547733</v>
      </c>
      <c r="S35" s="83">
        <f t="shared" si="15"/>
        <v>128078.86213347566</v>
      </c>
    </row>
    <row r="36" spans="1:19" s="21" customFormat="1" outlineLevel="1" x14ac:dyDescent="0.3">
      <c r="A36" s="19"/>
      <c r="B36" s="16" t="s">
        <v>31</v>
      </c>
      <c r="C36" s="16"/>
      <c r="D36" s="20"/>
      <c r="E36" s="18">
        <f>E35/E22</f>
        <v>2.4457308248914615E-2</v>
      </c>
      <c r="F36" s="18">
        <f t="shared" ref="F36:N36" si="16">F35/F22</f>
        <v>6.0840024706609021E-2</v>
      </c>
      <c r="G36" s="18">
        <f t="shared" si="16"/>
        <v>5.1212017753499491E-2</v>
      </c>
      <c r="H36" s="18">
        <f t="shared" si="16"/>
        <v>4.478842278805642E-2</v>
      </c>
      <c r="I36" s="18">
        <f t="shared" si="16"/>
        <v>6.7646176911544231E-2</v>
      </c>
      <c r="J36" s="18">
        <f t="shared" si="16"/>
        <v>3.6263654603552055E-2</v>
      </c>
      <c r="K36" s="18">
        <f t="shared" si="16"/>
        <v>6.7954326388373995E-2</v>
      </c>
      <c r="L36" s="18">
        <f t="shared" si="16"/>
        <v>1.7547027346442992E-2</v>
      </c>
      <c r="M36" s="18">
        <f t="shared" si="16"/>
        <v>2.4797504923484832E-2</v>
      </c>
      <c r="N36" s="18">
        <f t="shared" si="16"/>
        <v>2.7980253591308617E-2</v>
      </c>
      <c r="O36" s="85">
        <f>AVERAGE(J36:N36)</f>
        <v>3.4908553370632499E-2</v>
      </c>
      <c r="P36" s="85">
        <f t="shared" ref="P36:S36" si="17">AVERAGE(K36:O36)</f>
        <v>3.4637533124048589E-2</v>
      </c>
      <c r="Q36" s="85">
        <f t="shared" si="17"/>
        <v>2.797417447118351E-2</v>
      </c>
      <c r="R36" s="85">
        <f t="shared" si="17"/>
        <v>3.0059603896131611E-2</v>
      </c>
      <c r="S36" s="85">
        <f t="shared" si="17"/>
        <v>3.1112023690660962E-2</v>
      </c>
    </row>
    <row r="37" spans="1:19" s="21" customFormat="1" outlineLevel="1" x14ac:dyDescent="0.3">
      <c r="A37" s="19"/>
      <c r="B37"/>
      <c r="C37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86"/>
      <c r="P37" s="86"/>
      <c r="Q37" s="86"/>
      <c r="R37" s="86"/>
      <c r="S37" s="86"/>
    </row>
    <row r="38" spans="1:19" s="21" customFormat="1" outlineLevel="1" x14ac:dyDescent="0.3">
      <c r="A38" s="19"/>
      <c r="B38" t="s">
        <v>35</v>
      </c>
      <c r="C38"/>
      <c r="D38" s="20"/>
      <c r="E38" s="15">
        <f>-CFS!F19</f>
        <v>530</v>
      </c>
      <c r="F38" s="15">
        <f>-CFS!G19</f>
        <v>329</v>
      </c>
      <c r="G38" s="15">
        <f>-CFS!H19</f>
        <v>1113</v>
      </c>
      <c r="H38" s="15">
        <f>-CFS!I19</f>
        <v>-663</v>
      </c>
      <c r="I38" s="15">
        <f>-CFS!J19</f>
        <v>993</v>
      </c>
      <c r="J38" s="15">
        <f>-CFS!K19</f>
        <v>3944</v>
      </c>
      <c r="K38" s="15">
        <f>-CFS!L19</f>
        <v>3548</v>
      </c>
      <c r="L38" s="15">
        <f>-CFS!M19</f>
        <v>5747</v>
      </c>
      <c r="M38" s="15">
        <f>-CFS!N19</f>
        <v>13661</v>
      </c>
      <c r="N38" s="15">
        <f>-CFS!O19</f>
        <v>21206</v>
      </c>
      <c r="O38" s="83">
        <f>O22*O39</f>
        <v>43090.286071878225</v>
      </c>
      <c r="P38" s="83">
        <f>P22*P39</f>
        <v>71622.531205869018</v>
      </c>
      <c r="Q38" s="83">
        <f t="shared" ref="Q38:S38" si="18">Q22*Q39</f>
        <v>131043.49630075542</v>
      </c>
      <c r="R38" s="83">
        <f t="shared" si="18"/>
        <v>245664.73890945929</v>
      </c>
      <c r="S38" s="83">
        <f t="shared" si="18"/>
        <v>438362.394755341</v>
      </c>
    </row>
    <row r="39" spans="1:19" s="21" customFormat="1" outlineLevel="1" x14ac:dyDescent="0.3">
      <c r="A39" s="19"/>
      <c r="B39" s="16" t="s">
        <v>31</v>
      </c>
      <c r="C39" s="16"/>
      <c r="D39" s="20"/>
      <c r="E39" s="18">
        <f>E38/E22</f>
        <v>7.6700434153400873E-2</v>
      </c>
      <c r="F39" s="18">
        <f t="shared" ref="F39:N39" si="19">F38/F22</f>
        <v>3.3868643195388098E-2</v>
      </c>
      <c r="G39" s="18">
        <f t="shared" si="19"/>
        <v>9.4998292932741549E-2</v>
      </c>
      <c r="H39" s="18">
        <f t="shared" si="19"/>
        <v>-6.0725407583806561E-2</v>
      </c>
      <c r="I39" s="18">
        <f t="shared" si="19"/>
        <v>5.9550224887556222E-2</v>
      </c>
      <c r="J39" s="18">
        <f t="shared" si="19"/>
        <v>0.14654083376681282</v>
      </c>
      <c r="K39" s="18">
        <f t="shared" si="19"/>
        <v>0.13153406984503596</v>
      </c>
      <c r="L39" s="18">
        <f t="shared" si="19"/>
        <v>9.4333738222645347E-2</v>
      </c>
      <c r="M39" s="18">
        <f t="shared" si="19"/>
        <v>0.10468439887506993</v>
      </c>
      <c r="N39" s="18">
        <f t="shared" si="19"/>
        <v>9.820411414387463E-2</v>
      </c>
      <c r="O39" s="85">
        <f>AVERAGE(J39:N39)</f>
        <v>0.11505943097068774</v>
      </c>
      <c r="P39" s="85">
        <f t="shared" ref="P39:S39" si="20">AVERAGE(K39:O39)</f>
        <v>0.10876315041146271</v>
      </c>
      <c r="Q39" s="85">
        <f t="shared" si="20"/>
        <v>0.10420896652474806</v>
      </c>
      <c r="R39" s="85">
        <f t="shared" si="20"/>
        <v>0.10618401218516862</v>
      </c>
      <c r="S39" s="85">
        <f t="shared" si="20"/>
        <v>0.10648393484718835</v>
      </c>
    </row>
    <row r="40" spans="1:19" outlineLevel="1" x14ac:dyDescent="0.3">
      <c r="A40" s="9"/>
      <c r="B40" s="16"/>
      <c r="C40" s="16"/>
      <c r="E40" s="42"/>
      <c r="F40" s="18"/>
      <c r="G40" s="18"/>
      <c r="H40" s="18"/>
      <c r="I40" s="18"/>
      <c r="J40" s="18"/>
      <c r="K40" s="18"/>
      <c r="L40" s="18"/>
      <c r="M40" s="18"/>
      <c r="N40" s="18"/>
      <c r="O40" s="85"/>
      <c r="P40" s="82"/>
      <c r="Q40" s="82"/>
      <c r="R40" s="82"/>
      <c r="S40" s="82"/>
    </row>
    <row r="41" spans="1:19" outlineLevel="1" x14ac:dyDescent="0.3">
      <c r="A41" s="9"/>
      <c r="O41">
        <v>1</v>
      </c>
      <c r="P41">
        <f>O41+1</f>
        <v>2</v>
      </c>
      <c r="Q41">
        <f>P41+1</f>
        <v>3</v>
      </c>
      <c r="R41">
        <f>Q41+1</f>
        <v>4</v>
      </c>
      <c r="S41">
        <f>R41+1</f>
        <v>5</v>
      </c>
    </row>
    <row r="42" spans="1:19" x14ac:dyDescent="0.3">
      <c r="A42" s="9" t="s">
        <v>12</v>
      </c>
      <c r="B42" s="13" t="s">
        <v>36</v>
      </c>
      <c r="C42" s="13"/>
      <c r="D42" s="13"/>
      <c r="E42" s="23">
        <f>E31</f>
        <v>2017</v>
      </c>
      <c r="F42" s="23">
        <f>E42+1</f>
        <v>2018</v>
      </c>
      <c r="G42" s="23">
        <f t="shared" ref="G42:O42" si="21">F42+1</f>
        <v>2019</v>
      </c>
      <c r="H42" s="23">
        <f t="shared" si="21"/>
        <v>2020</v>
      </c>
      <c r="I42" s="23">
        <f t="shared" si="21"/>
        <v>2021</v>
      </c>
      <c r="J42" s="23">
        <f t="shared" si="21"/>
        <v>2022</v>
      </c>
      <c r="K42" s="23">
        <f t="shared" si="21"/>
        <v>2023</v>
      </c>
      <c r="L42" s="23">
        <f t="shared" si="21"/>
        <v>2024</v>
      </c>
      <c r="M42" s="23">
        <f t="shared" si="21"/>
        <v>2025</v>
      </c>
      <c r="N42" s="23">
        <f t="shared" si="21"/>
        <v>2026</v>
      </c>
      <c r="O42" s="14">
        <f t="shared" si="21"/>
        <v>2027</v>
      </c>
      <c r="P42" s="14">
        <f t="shared" ref="P42:S42" si="22">O42+1</f>
        <v>2028</v>
      </c>
      <c r="Q42" s="14">
        <f t="shared" si="22"/>
        <v>2029</v>
      </c>
      <c r="R42" s="14">
        <f t="shared" si="22"/>
        <v>2030</v>
      </c>
      <c r="S42" s="14">
        <f t="shared" si="22"/>
        <v>2031</v>
      </c>
    </row>
    <row r="43" spans="1:19" x14ac:dyDescent="0.3">
      <c r="B43" t="s">
        <v>28</v>
      </c>
      <c r="E43" s="44">
        <f>E22</f>
        <v>6910</v>
      </c>
      <c r="F43" s="44">
        <f t="shared" ref="F43:N43" si="23">F22</f>
        <v>9714</v>
      </c>
      <c r="G43" s="44">
        <f t="shared" si="23"/>
        <v>11716</v>
      </c>
      <c r="H43" s="44">
        <f t="shared" si="23"/>
        <v>10918</v>
      </c>
      <c r="I43" s="44">
        <f t="shared" si="23"/>
        <v>16675</v>
      </c>
      <c r="J43" s="44">
        <f t="shared" si="23"/>
        <v>26914</v>
      </c>
      <c r="K43" s="44">
        <f t="shared" si="23"/>
        <v>26974</v>
      </c>
      <c r="L43" s="44">
        <f t="shared" si="23"/>
        <v>60922</v>
      </c>
      <c r="M43" s="44">
        <f t="shared" si="23"/>
        <v>130497</v>
      </c>
      <c r="N43" s="44">
        <f t="shared" si="23"/>
        <v>215938</v>
      </c>
      <c r="O43" s="45">
        <f ca="1">N43*(1+O44)</f>
        <v>390361.25904371607</v>
      </c>
      <c r="P43" s="45">
        <f ca="1">O43*(1+P44)</f>
        <v>545781.73604235228</v>
      </c>
      <c r="Q43" s="45">
        <f t="shared" ref="Q43:S43" ca="1" si="24">P43*(1+Q44)</f>
        <v>806414.46009986906</v>
      </c>
      <c r="R43" s="45">
        <f t="shared" ca="1" si="24"/>
        <v>1161963.3998441848</v>
      </c>
      <c r="S43" s="45">
        <f t="shared" ca="1" si="24"/>
        <v>1637401.1973089997</v>
      </c>
    </row>
    <row r="44" spans="1:19" x14ac:dyDescent="0.3">
      <c r="B44" s="16" t="s">
        <v>29</v>
      </c>
      <c r="C44" s="16"/>
      <c r="E44" s="42" t="s">
        <v>30</v>
      </c>
      <c r="F44" s="18">
        <f>F43/E43-1</f>
        <v>0.40578871201157751</v>
      </c>
      <c r="G44" s="18">
        <f t="shared" ref="G44:N44" si="25">G43/F43-1</f>
        <v>0.20609429689108505</v>
      </c>
      <c r="H44" s="18">
        <f t="shared" si="25"/>
        <v>-6.8111983612154314E-2</v>
      </c>
      <c r="I44" s="18">
        <f t="shared" si="25"/>
        <v>0.52729437625938824</v>
      </c>
      <c r="J44" s="18">
        <f t="shared" si="25"/>
        <v>0.61403298350824587</v>
      </c>
      <c r="K44" s="18">
        <f t="shared" si="25"/>
        <v>2.2293230289069932E-3</v>
      </c>
      <c r="L44" s="18">
        <f t="shared" si="25"/>
        <v>1.2585452658115224</v>
      </c>
      <c r="M44" s="18">
        <f t="shared" si="25"/>
        <v>1.1420340763599355</v>
      </c>
      <c r="N44" s="18">
        <f t="shared" si="25"/>
        <v>0.65473535790094783</v>
      </c>
      <c r="O44" s="18">
        <f ca="1">OFFSET(O44,$E$12,0)</f>
        <v>0.80774694145410286</v>
      </c>
      <c r="P44" s="18">
        <f t="shared" ref="P44:S44" ca="1" si="26">OFFSET(P44,$E$12,0)</f>
        <v>0.39814523956443854</v>
      </c>
      <c r="Q44" s="18">
        <f t="shared" ca="1" si="26"/>
        <v>0.47754020855929097</v>
      </c>
      <c r="R44" s="18">
        <f t="shared" ca="1" si="26"/>
        <v>0.44090099736093935</v>
      </c>
      <c r="S44" s="18">
        <f t="shared" ca="1" si="26"/>
        <v>0.40916761881533403</v>
      </c>
    </row>
    <row r="45" spans="1:19" ht="14.55" customHeight="1" x14ac:dyDescent="0.3">
      <c r="B45" t="s">
        <v>46</v>
      </c>
      <c r="O45" s="56">
        <f>O46*(1+$J$12)</f>
        <v>0.69759963125581603</v>
      </c>
      <c r="P45" s="56">
        <f>P46*(1+$J$13)</f>
        <v>0.34505920762251341</v>
      </c>
      <c r="Q45" s="56">
        <f>Q46*(1+$J$13)</f>
        <v>0.41386818075138554</v>
      </c>
      <c r="R45" s="56">
        <f t="shared" ref="R45:S45" si="27">R46*(1+$J$13)</f>
        <v>0.38211419771281407</v>
      </c>
      <c r="S45" s="56">
        <f t="shared" si="27"/>
        <v>0.3546119363066228</v>
      </c>
    </row>
    <row r="46" spans="1:19" x14ac:dyDescent="0.3">
      <c r="B46" t="s">
        <v>123</v>
      </c>
      <c r="O46" s="46">
        <f>O23</f>
        <v>0.73431540132191164</v>
      </c>
      <c r="P46" s="46">
        <f>P23*(1+$O$13)</f>
        <v>0.53086031941925138</v>
      </c>
      <c r="Q46" s="46">
        <f t="shared" ref="Q46:S46" si="28">Q23*(1+$O$13)</f>
        <v>0.63672027807905462</v>
      </c>
      <c r="R46" s="46">
        <f t="shared" si="28"/>
        <v>0.58786799648125243</v>
      </c>
      <c r="S46" s="46">
        <f t="shared" si="28"/>
        <v>0.54555682508711201</v>
      </c>
    </row>
    <row r="47" spans="1:19" x14ac:dyDescent="0.3">
      <c r="B47" t="s">
        <v>47</v>
      </c>
      <c r="O47" s="46">
        <f>O46*(1+$T$12)</f>
        <v>0.80774694145410286</v>
      </c>
      <c r="P47" s="46">
        <f>P46*(1+$T$13)</f>
        <v>0.39814523956443854</v>
      </c>
      <c r="Q47" s="46">
        <f t="shared" ref="Q47:S47" si="29">Q46*(1+$T$13)</f>
        <v>0.47754020855929097</v>
      </c>
      <c r="R47" s="46">
        <f t="shared" si="29"/>
        <v>0.44090099736093935</v>
      </c>
      <c r="S47" s="46">
        <f t="shared" si="29"/>
        <v>0.40916761881533403</v>
      </c>
    </row>
    <row r="49" spans="2:19" x14ac:dyDescent="0.3">
      <c r="B49" t="s">
        <v>1</v>
      </c>
      <c r="E49" s="44">
        <f>E25</f>
        <v>1934</v>
      </c>
      <c r="F49" s="44">
        <f t="shared" ref="F49:N49" si="30">F25</f>
        <v>3210</v>
      </c>
      <c r="G49" s="44">
        <f t="shared" si="30"/>
        <v>3804</v>
      </c>
      <c r="H49" s="44">
        <f t="shared" si="30"/>
        <v>2846</v>
      </c>
      <c r="I49" s="44">
        <f t="shared" si="30"/>
        <v>4532</v>
      </c>
      <c r="J49" s="44">
        <f t="shared" si="30"/>
        <v>10041</v>
      </c>
      <c r="K49" s="44">
        <f t="shared" si="30"/>
        <v>4224</v>
      </c>
      <c r="L49" s="44">
        <f t="shared" si="30"/>
        <v>32972</v>
      </c>
      <c r="M49" s="44">
        <f t="shared" si="30"/>
        <v>81453</v>
      </c>
      <c r="N49" s="44">
        <f t="shared" si="30"/>
        <v>130387</v>
      </c>
      <c r="O49" s="45">
        <f ca="1">O43*O50</f>
        <v>241599.36796676047</v>
      </c>
      <c r="P49" s="45">
        <f t="shared" ref="P49:S49" ca="1" si="31">P43*P50</f>
        <v>346126.14978057734</v>
      </c>
      <c r="Q49" s="45">
        <f t="shared" ca="1" si="31"/>
        <v>523730.81331238273</v>
      </c>
      <c r="R49" s="45">
        <f t="shared" ca="1" si="31"/>
        <v>772389.68157225684</v>
      </c>
      <c r="S49" s="45">
        <f t="shared" ca="1" si="31"/>
        <v>1113432.8141701198</v>
      </c>
    </row>
    <row r="50" spans="2:19" x14ac:dyDescent="0.3">
      <c r="B50" s="16" t="s">
        <v>31</v>
      </c>
      <c r="C50" s="16"/>
      <c r="E50" s="18">
        <f>E49/E43</f>
        <v>0.27988422575976846</v>
      </c>
      <c r="F50" s="18">
        <f t="shared" ref="F50:N50" si="32">F49/F43</f>
        <v>0.33045089561457691</v>
      </c>
      <c r="G50" s="18">
        <f t="shared" si="32"/>
        <v>0.32468419255718678</v>
      </c>
      <c r="H50" s="18">
        <f t="shared" si="32"/>
        <v>0.2606704524638212</v>
      </c>
      <c r="I50" s="18">
        <f t="shared" si="32"/>
        <v>0.27178410794602698</v>
      </c>
      <c r="J50" s="18">
        <f t="shared" si="32"/>
        <v>0.37307720888756779</v>
      </c>
      <c r="K50" s="18">
        <f t="shared" si="32"/>
        <v>0.1565952398606065</v>
      </c>
      <c r="L50" s="18">
        <f t="shared" si="32"/>
        <v>0.54121663766783756</v>
      </c>
      <c r="M50" s="18">
        <f t="shared" si="32"/>
        <v>0.62417526839697468</v>
      </c>
      <c r="N50" s="18">
        <f t="shared" si="32"/>
        <v>0.60381683631412719</v>
      </c>
      <c r="O50" s="18">
        <f ca="1">OFFSET(O50,$E$13:$E$13,0)</f>
        <v>0.61891225722198029</v>
      </c>
      <c r="P50" s="18">
        <f t="shared" ref="P50:S50" ca="1" si="33">OFFSET(P50,$E$13:$E$13,0)</f>
        <v>0.6341841929164852</v>
      </c>
      <c r="Q50" s="18">
        <f t="shared" ca="1" si="33"/>
        <v>0.64945612861099011</v>
      </c>
      <c r="R50" s="18">
        <f t="shared" ca="1" si="33"/>
        <v>0.66472806430549503</v>
      </c>
      <c r="S50" s="18">
        <f t="shared" ca="1" si="33"/>
        <v>0.68</v>
      </c>
    </row>
    <row r="51" spans="2:19" x14ac:dyDescent="0.3">
      <c r="B51" t="s">
        <v>46</v>
      </c>
      <c r="C51" s="16"/>
      <c r="O51" s="46">
        <f>O52*(1+$J$14)</f>
        <v>0.621931341403551</v>
      </c>
      <c r="P51" s="46">
        <f>O51+($S$51-$O$51)/($S$42-$O$42)</f>
        <v>0.5914485060526633</v>
      </c>
      <c r="Q51" s="46">
        <f>P51+($S$51-$O$51)/($S$42-$O$42)</f>
        <v>0.56096567070177561</v>
      </c>
      <c r="R51" s="46">
        <f>Q51+($S$51-$O$51)/($S$42-$O$42)</f>
        <v>0.53048283535088792</v>
      </c>
      <c r="S51" s="46">
        <f>J15</f>
        <v>0.5</v>
      </c>
    </row>
    <row r="52" spans="2:19" x14ac:dyDescent="0.3">
      <c r="B52" t="s">
        <v>123</v>
      </c>
      <c r="C52" s="16"/>
      <c r="O52" s="46">
        <f>N26</f>
        <v>0.60381683631412719</v>
      </c>
      <c r="P52" s="46">
        <f>O52</f>
        <v>0.60381683631412719</v>
      </c>
      <c r="Q52" s="46">
        <f t="shared" ref="Q52:S52" si="34">P52</f>
        <v>0.60381683631412719</v>
      </c>
      <c r="R52" s="46">
        <f t="shared" si="34"/>
        <v>0.60381683631412719</v>
      </c>
      <c r="S52" s="46">
        <f t="shared" si="34"/>
        <v>0.60381683631412719</v>
      </c>
    </row>
    <row r="53" spans="2:19" x14ac:dyDescent="0.3">
      <c r="B53" t="s">
        <v>47</v>
      </c>
      <c r="C53" s="16"/>
      <c r="O53" s="46">
        <f>O52*(1+$T$14)</f>
        <v>0.61891225722198029</v>
      </c>
      <c r="P53" s="46">
        <f>O53+($S$53-$O$53)/($S$42-$O$42)</f>
        <v>0.6341841929164852</v>
      </c>
      <c r="Q53" s="46">
        <f t="shared" ref="Q53:R53" si="35">P53+($S$53-$O$53)/($S$42-$O$42)</f>
        <v>0.64945612861099011</v>
      </c>
      <c r="R53" s="46">
        <f t="shared" si="35"/>
        <v>0.66472806430549503</v>
      </c>
      <c r="S53" s="46">
        <f>T15</f>
        <v>0.68</v>
      </c>
    </row>
    <row r="55" spans="2:19" x14ac:dyDescent="0.3">
      <c r="B55" t="s">
        <v>48</v>
      </c>
      <c r="E55" s="49">
        <f>E28</f>
        <v>239</v>
      </c>
      <c r="F55" s="49">
        <f t="shared" ref="F55:N55" si="36">F28</f>
        <v>149</v>
      </c>
      <c r="G55" s="49">
        <f t="shared" si="36"/>
        <v>-245</v>
      </c>
      <c r="H55" s="49">
        <f t="shared" si="36"/>
        <v>174</v>
      </c>
      <c r="I55" s="49">
        <f t="shared" si="36"/>
        <v>77</v>
      </c>
      <c r="J55" s="49">
        <f t="shared" si="36"/>
        <v>189</v>
      </c>
      <c r="K55" s="49">
        <f t="shared" si="36"/>
        <v>-187</v>
      </c>
      <c r="L55" s="49">
        <f t="shared" si="36"/>
        <v>4058</v>
      </c>
      <c r="M55" s="49">
        <f t="shared" si="36"/>
        <v>11146</v>
      </c>
      <c r="N55" s="49">
        <f t="shared" si="36"/>
        <v>21383</v>
      </c>
      <c r="O55" s="45">
        <f ca="1">O49*O56</f>
        <v>36481.50456298083</v>
      </c>
      <c r="P55" s="45">
        <f t="shared" ref="P55:S55" ca="1" si="37">P49*P56</f>
        <v>52265.048616867178</v>
      </c>
      <c r="Q55" s="45">
        <f t="shared" ca="1" si="37"/>
        <v>79083.352810169788</v>
      </c>
      <c r="R55" s="45">
        <f t="shared" ca="1" si="37"/>
        <v>116630.84191741078</v>
      </c>
      <c r="S55" s="45">
        <f t="shared" ca="1" si="37"/>
        <v>168128.35493968808</v>
      </c>
    </row>
    <row r="56" spans="2:19" x14ac:dyDescent="0.3">
      <c r="B56" s="16" t="s">
        <v>62</v>
      </c>
      <c r="C56" s="16"/>
      <c r="E56" s="18">
        <f>E29</f>
        <v>0.12357807652533609</v>
      </c>
      <c r="F56" s="18">
        <f t="shared" ref="F56:N56" si="38">F29</f>
        <v>4.641744548286604E-2</v>
      </c>
      <c r="G56" s="18">
        <f t="shared" si="38"/>
        <v>-6.4405888538380654E-2</v>
      </c>
      <c r="H56" s="18">
        <f t="shared" si="38"/>
        <v>6.1138439915671118E-2</v>
      </c>
      <c r="I56" s="18">
        <f t="shared" si="38"/>
        <v>1.6990291262135922E-2</v>
      </c>
      <c r="J56" s="18">
        <f t="shared" si="38"/>
        <v>1.8822826411711981E-2</v>
      </c>
      <c r="K56" s="18">
        <f t="shared" si="38"/>
        <v>-4.4270833333333336E-2</v>
      </c>
      <c r="L56" s="18">
        <f t="shared" si="38"/>
        <v>0.12307412349872619</v>
      </c>
      <c r="M56" s="18">
        <f t="shared" si="38"/>
        <v>0.13683964985942815</v>
      </c>
      <c r="N56" s="18">
        <f t="shared" si="38"/>
        <v>0.16399641068511431</v>
      </c>
      <c r="O56" s="46">
        <v>0.151</v>
      </c>
      <c r="P56" s="46">
        <f>O56</f>
        <v>0.151</v>
      </c>
      <c r="Q56" s="46">
        <f t="shared" ref="Q56:S56" si="39">P56</f>
        <v>0.151</v>
      </c>
      <c r="R56" s="46">
        <f t="shared" si="39"/>
        <v>0.151</v>
      </c>
      <c r="S56" s="46">
        <f t="shared" si="39"/>
        <v>0.151</v>
      </c>
    </row>
    <row r="58" spans="2:19" x14ac:dyDescent="0.3">
      <c r="B58" s="31" t="s">
        <v>49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47">
        <f ca="1">O49-O55</f>
        <v>205117.86340377963</v>
      </c>
      <c r="P58" s="47">
        <f t="shared" ref="P58:S58" ca="1" si="40">P49-P55</f>
        <v>293861.10116371018</v>
      </c>
      <c r="Q58" s="47">
        <f t="shared" ca="1" si="40"/>
        <v>444647.46050221293</v>
      </c>
      <c r="R58" s="47">
        <f t="shared" ca="1" si="40"/>
        <v>655758.83965484612</v>
      </c>
      <c r="S58" s="48">
        <f t="shared" ca="1" si="40"/>
        <v>945304.4592304317</v>
      </c>
    </row>
    <row r="60" spans="2:19" x14ac:dyDescent="0.3">
      <c r="B60" t="s">
        <v>33</v>
      </c>
      <c r="E60" s="44">
        <f>E32</f>
        <v>187</v>
      </c>
      <c r="F60" s="44">
        <f t="shared" ref="F60:N60" si="41">F32</f>
        <v>199</v>
      </c>
      <c r="G60" s="44">
        <f t="shared" si="41"/>
        <v>262</v>
      </c>
      <c r="H60" s="44">
        <f t="shared" si="41"/>
        <v>381</v>
      </c>
      <c r="I60" s="44">
        <f t="shared" si="41"/>
        <v>1098</v>
      </c>
      <c r="J60" s="44">
        <f t="shared" si="41"/>
        <v>1174</v>
      </c>
      <c r="K60" s="44">
        <f t="shared" si="41"/>
        <v>1544</v>
      </c>
      <c r="L60" s="44">
        <f t="shared" si="41"/>
        <v>1508</v>
      </c>
      <c r="M60" s="44">
        <f t="shared" si="41"/>
        <v>1864</v>
      </c>
      <c r="N60" s="44">
        <f t="shared" si="41"/>
        <v>2843</v>
      </c>
      <c r="O60" s="45">
        <f ca="1">O61*O$43</f>
        <v>11950.00104921437</v>
      </c>
      <c r="P60" s="45">
        <f t="shared" ref="P60:S60" ca="1" si="42">P61*P$43</f>
        <v>16707.837079749119</v>
      </c>
      <c r="Q60" s="45">
        <f t="shared" ca="1" si="42"/>
        <v>24686.501083387167</v>
      </c>
      <c r="R60" s="45">
        <f t="shared" ca="1" si="42"/>
        <v>35570.804032404478</v>
      </c>
      <c r="S60" s="45">
        <f t="shared" ca="1" si="42"/>
        <v>50125.225217690306</v>
      </c>
    </row>
    <row r="61" spans="2:19" x14ac:dyDescent="0.3">
      <c r="B61" t="s">
        <v>31</v>
      </c>
      <c r="E61" s="18">
        <f>E60/E$43</f>
        <v>2.7062228654124457E-2</v>
      </c>
      <c r="F61" s="18">
        <f t="shared" ref="F61:N61" si="43">F60/F$43</f>
        <v>2.0485896644018942E-2</v>
      </c>
      <c r="G61" s="18">
        <f t="shared" si="43"/>
        <v>2.2362581085694777E-2</v>
      </c>
      <c r="H61" s="18">
        <f t="shared" si="43"/>
        <v>3.4896501190694269E-2</v>
      </c>
      <c r="I61" s="18">
        <f t="shared" si="43"/>
        <v>6.5847076461769113E-2</v>
      </c>
      <c r="J61" s="18">
        <f t="shared" si="43"/>
        <v>4.362042059894479E-2</v>
      </c>
      <c r="K61" s="18">
        <f t="shared" si="43"/>
        <v>5.7240305479350488E-2</v>
      </c>
      <c r="L61" s="18">
        <f t="shared" si="43"/>
        <v>2.4752962804898065E-2</v>
      </c>
      <c r="M61" s="18">
        <f t="shared" si="43"/>
        <v>1.4283853268657517E-2</v>
      </c>
      <c r="N61" s="18">
        <f t="shared" si="43"/>
        <v>1.3165816113884541E-2</v>
      </c>
      <c r="O61" s="46">
        <f>AVERAGE(J61:N61)</f>
        <v>3.0612671653147079E-2</v>
      </c>
      <c r="P61" s="46">
        <f>O61</f>
        <v>3.0612671653147079E-2</v>
      </c>
      <c r="Q61" s="46">
        <f t="shared" ref="Q61:S61" si="44">P61</f>
        <v>3.0612671653147079E-2</v>
      </c>
      <c r="R61" s="46">
        <f t="shared" si="44"/>
        <v>3.0612671653147079E-2</v>
      </c>
      <c r="S61" s="46">
        <f t="shared" si="44"/>
        <v>3.0612671653147079E-2</v>
      </c>
    </row>
    <row r="63" spans="2:19" x14ac:dyDescent="0.3">
      <c r="B63" t="s">
        <v>34</v>
      </c>
      <c r="E63" s="44">
        <f>E35</f>
        <v>169</v>
      </c>
      <c r="F63" s="44">
        <f t="shared" ref="F63:N63" si="45">F35</f>
        <v>591</v>
      </c>
      <c r="G63" s="44">
        <f t="shared" si="45"/>
        <v>600</v>
      </c>
      <c r="H63" s="44">
        <f t="shared" si="45"/>
        <v>489</v>
      </c>
      <c r="I63" s="44">
        <f t="shared" si="45"/>
        <v>1128</v>
      </c>
      <c r="J63" s="44">
        <f t="shared" si="45"/>
        <v>976</v>
      </c>
      <c r="K63" s="44">
        <f t="shared" si="45"/>
        <v>1833</v>
      </c>
      <c r="L63" s="44">
        <f t="shared" si="45"/>
        <v>1069</v>
      </c>
      <c r="M63" s="44">
        <f t="shared" si="45"/>
        <v>3236</v>
      </c>
      <c r="N63" s="44">
        <f t="shared" si="45"/>
        <v>6042</v>
      </c>
      <c r="O63" s="45">
        <f ca="1">O64*O$43</f>
        <v>13626.94684515486</v>
      </c>
      <c r="P63" s="45">
        <f t="shared" ref="P63" ca="1" si="46">P64*P$43</f>
        <v>19052.450861350913</v>
      </c>
      <c r="Q63" s="45">
        <f t="shared" ref="Q63" ca="1" si="47">Q64*Q$43</f>
        <v>28150.762219246069</v>
      </c>
      <c r="R63" s="45">
        <f t="shared" ref="R63" ca="1" si="48">R64*R$43</f>
        <v>40562.461358182314</v>
      </c>
      <c r="S63" s="45">
        <f t="shared" ref="S63" ca="1" si="49">S64*S$43</f>
        <v>57159.307085398774</v>
      </c>
    </row>
    <row r="64" spans="2:19" x14ac:dyDescent="0.3">
      <c r="B64" s="16" t="s">
        <v>31</v>
      </c>
      <c r="C64" s="16"/>
      <c r="E64" s="18">
        <f>E63/E$43</f>
        <v>2.4457308248914615E-2</v>
      </c>
      <c r="F64" s="18">
        <f t="shared" ref="F64" si="50">F63/F$43</f>
        <v>6.0840024706609021E-2</v>
      </c>
      <c r="G64" s="18">
        <f t="shared" ref="G64" si="51">G63/G$43</f>
        <v>5.1212017753499491E-2</v>
      </c>
      <c r="H64" s="18">
        <f t="shared" ref="H64" si="52">H63/H$43</f>
        <v>4.478842278805642E-2</v>
      </c>
      <c r="I64" s="18">
        <f t="shared" ref="I64" si="53">I63/I$43</f>
        <v>6.7646176911544231E-2</v>
      </c>
      <c r="J64" s="18">
        <f t="shared" ref="J64" si="54">J63/J$43</f>
        <v>3.6263654603552055E-2</v>
      </c>
      <c r="K64" s="18">
        <f t="shared" ref="K64" si="55">K63/K$43</f>
        <v>6.7954326388373995E-2</v>
      </c>
      <c r="L64" s="18">
        <f t="shared" ref="L64" si="56">L63/L$43</f>
        <v>1.7547027346442992E-2</v>
      </c>
      <c r="M64" s="18">
        <f t="shared" ref="M64" si="57">M63/M$43</f>
        <v>2.4797504923484832E-2</v>
      </c>
      <c r="N64" s="18">
        <f t="shared" ref="N64" si="58">N63/N$43</f>
        <v>2.7980253591308617E-2</v>
      </c>
      <c r="O64" s="46">
        <f>AVERAGE(J64:N64)</f>
        <v>3.4908553370632499E-2</v>
      </c>
      <c r="P64" s="46">
        <f>O64</f>
        <v>3.4908553370632499E-2</v>
      </c>
      <c r="Q64" s="46">
        <f t="shared" ref="Q64:S64" si="59">P64</f>
        <v>3.4908553370632499E-2</v>
      </c>
      <c r="R64" s="46">
        <f t="shared" si="59"/>
        <v>3.4908553370632499E-2</v>
      </c>
      <c r="S64" s="46">
        <f t="shared" si="59"/>
        <v>3.4908553370632499E-2</v>
      </c>
    </row>
    <row r="66" spans="2:19" x14ac:dyDescent="0.3">
      <c r="B66" t="s">
        <v>35</v>
      </c>
      <c r="E66" s="44">
        <f>E38</f>
        <v>530</v>
      </c>
      <c r="F66" s="44">
        <f t="shared" ref="F66:N66" si="60">F38</f>
        <v>329</v>
      </c>
      <c r="G66" s="44">
        <f t="shared" si="60"/>
        <v>1113</v>
      </c>
      <c r="H66" s="44">
        <f t="shared" si="60"/>
        <v>-663</v>
      </c>
      <c r="I66" s="44">
        <f t="shared" si="60"/>
        <v>993</v>
      </c>
      <c r="J66" s="44">
        <f t="shared" si="60"/>
        <v>3944</v>
      </c>
      <c r="K66" s="44">
        <f t="shared" si="60"/>
        <v>3548</v>
      </c>
      <c r="L66" s="44">
        <f t="shared" si="60"/>
        <v>5747</v>
      </c>
      <c r="M66" s="44">
        <f t="shared" si="60"/>
        <v>13661</v>
      </c>
      <c r="N66" s="44">
        <f t="shared" si="60"/>
        <v>21206</v>
      </c>
      <c r="O66" s="45">
        <f ca="1">O67*O$43</f>
        <v>44914.744338571203</v>
      </c>
      <c r="P66" s="45">
        <f t="shared" ref="P66" ca="1" si="61">P67*P$43</f>
        <v>62797.335983227153</v>
      </c>
      <c r="Q66" s="45">
        <f t="shared" ref="Q66" ca="1" si="62">Q67*Q$43</f>
        <v>92785.588905625307</v>
      </c>
      <c r="R66" s="45">
        <f t="shared" ref="R66" ca="1" si="63">R67*R$43</f>
        <v>133694.84759483763</v>
      </c>
      <c r="S66" s="45">
        <f t="shared" ref="S66" ca="1" si="64">S67*S$43</f>
        <v>188398.45003309631</v>
      </c>
    </row>
    <row r="67" spans="2:19" x14ac:dyDescent="0.3">
      <c r="B67" s="16" t="s">
        <v>31</v>
      </c>
      <c r="C67" s="16"/>
      <c r="E67" s="18">
        <f>E66/E$43</f>
        <v>7.6700434153400873E-2</v>
      </c>
      <c r="F67" s="18">
        <f t="shared" ref="F67" si="65">F66/F$43</f>
        <v>3.3868643195388098E-2</v>
      </c>
      <c r="G67" s="18">
        <f t="shared" ref="G67" si="66">G66/G$43</f>
        <v>9.4998292932741549E-2</v>
      </c>
      <c r="H67" s="18">
        <f t="shared" ref="H67" si="67">H66/H$43</f>
        <v>-6.0725407583806561E-2</v>
      </c>
      <c r="I67" s="18">
        <f t="shared" ref="I67" si="68">I66/I$43</f>
        <v>5.9550224887556222E-2</v>
      </c>
      <c r="J67" s="18">
        <f t="shared" ref="J67" si="69">J66/J$43</f>
        <v>0.14654083376681282</v>
      </c>
      <c r="K67" s="18">
        <f t="shared" ref="K67" si="70">K66/K$43</f>
        <v>0.13153406984503596</v>
      </c>
      <c r="L67" s="18">
        <f t="shared" ref="L67" si="71">L66/L$43</f>
        <v>9.4333738222645347E-2</v>
      </c>
      <c r="M67" s="18">
        <f t="shared" ref="M67" si="72">M66/M$43</f>
        <v>0.10468439887506993</v>
      </c>
      <c r="N67" s="18">
        <f t="shared" ref="N67" si="73">N66/N$43</f>
        <v>9.820411414387463E-2</v>
      </c>
      <c r="O67" s="46">
        <f>AVERAGE(J67:N67)</f>
        <v>0.11505943097068774</v>
      </c>
      <c r="P67" s="46">
        <f>O67</f>
        <v>0.11505943097068774</v>
      </c>
      <c r="Q67" s="46">
        <f t="shared" ref="Q67:S67" si="74">P67</f>
        <v>0.11505943097068774</v>
      </c>
      <c r="R67" s="46">
        <f t="shared" si="74"/>
        <v>0.11505943097068774</v>
      </c>
      <c r="S67" s="46">
        <f t="shared" si="74"/>
        <v>0.11505943097068774</v>
      </c>
    </row>
    <row r="69" spans="2:19" x14ac:dyDescent="0.3">
      <c r="B69" s="39" t="s">
        <v>50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50">
        <f ca="1">O58+O60-O63-O66</f>
        <v>158526.17326926792</v>
      </c>
      <c r="P69" s="50">
        <f t="shared" ref="P69:S69" ca="1" si="75">P58+P60-P63-P66</f>
        <v>228719.15139888119</v>
      </c>
      <c r="Q69" s="50">
        <f t="shared" ca="1" si="75"/>
        <v>348397.61046072876</v>
      </c>
      <c r="R69" s="50">
        <f t="shared" ca="1" si="75"/>
        <v>517072.33473423054</v>
      </c>
      <c r="S69" s="51">
        <f t="shared" ca="1" si="75"/>
        <v>749871.92732962687</v>
      </c>
    </row>
    <row r="70" spans="2:19" x14ac:dyDescent="0.3">
      <c r="B70" s="41" t="s">
        <v>51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52">
        <f ca="1">O69/(1+wacc)^O73</f>
        <v>155829.58510562513</v>
      </c>
      <c r="P70" s="52">
        <f ca="1">P69/(1+wacc)^P73</f>
        <v>208829.28241770793</v>
      </c>
      <c r="Q70" s="52">
        <f ca="1">Q69/(1+wacc)^Q73</f>
        <v>284018.09499138093</v>
      </c>
      <c r="R70" s="52">
        <f ca="1">R69/(1+wacc)^R73</f>
        <v>376360.57367285452</v>
      </c>
      <c r="S70" s="53">
        <f ca="1">S69/(1+wacc)^S73</f>
        <v>487328.5919326219</v>
      </c>
    </row>
    <row r="72" spans="2:19" x14ac:dyDescent="0.3">
      <c r="B72" t="s">
        <v>52</v>
      </c>
      <c r="N72" s="38"/>
      <c r="O72" s="38">
        <f>YEARFRAC(D5,D6)</f>
        <v>0.30277777777777776</v>
      </c>
      <c r="P72" s="38"/>
      <c r="Q72" s="38"/>
      <c r="R72" s="38"/>
      <c r="S72" s="38"/>
    </row>
    <row r="73" spans="2:19" x14ac:dyDescent="0.3">
      <c r="B73" t="s">
        <v>53</v>
      </c>
      <c r="N73" s="38"/>
      <c r="O73" s="38">
        <f>O72/2</f>
        <v>0.15138888888888888</v>
      </c>
      <c r="P73" s="38">
        <f>O72+0.5</f>
        <v>0.80277777777777781</v>
      </c>
      <c r="Q73" s="38">
        <f>P73+1</f>
        <v>1.8027777777777778</v>
      </c>
      <c r="R73" s="38">
        <f t="shared" ref="R73:S73" si="76">Q73+1</f>
        <v>2.802777777777778</v>
      </c>
      <c r="S73" s="38">
        <f t="shared" si="76"/>
        <v>3.802777777777778</v>
      </c>
    </row>
    <row r="75" spans="2:19" x14ac:dyDescent="0.3">
      <c r="B75" t="s">
        <v>54</v>
      </c>
      <c r="S75" s="45">
        <f ca="1">(S69*(1+tgr))/(wacc-tgr)</f>
        <v>8581867.6127723958</v>
      </c>
    </row>
    <row r="76" spans="2:19" x14ac:dyDescent="0.3">
      <c r="B76" t="s">
        <v>55</v>
      </c>
      <c r="S76" s="45">
        <f ca="1">S75/(1+wacc)^S73</f>
        <v>5577204.9965622285</v>
      </c>
    </row>
    <row r="77" spans="2:19" x14ac:dyDescent="0.3">
      <c r="B77" t="s">
        <v>56</v>
      </c>
      <c r="S77" s="49">
        <f ca="1">SUM(O70:S70,S76)</f>
        <v>7089571.124682419</v>
      </c>
    </row>
    <row r="78" spans="2:19" x14ac:dyDescent="0.3">
      <c r="B78" t="s">
        <v>57</v>
      </c>
      <c r="S78" s="45">
        <v>50335</v>
      </c>
    </row>
    <row r="79" spans="2:19" x14ac:dyDescent="0.3">
      <c r="B79" t="s">
        <v>58</v>
      </c>
      <c r="S79" s="45">
        <f>WACC!F15</f>
        <v>8468</v>
      </c>
    </row>
    <row r="80" spans="2:19" x14ac:dyDescent="0.3">
      <c r="B80" t="s">
        <v>59</v>
      </c>
      <c r="S80" s="49">
        <f ca="1">S77+S78-S79</f>
        <v>7131438.124682419</v>
      </c>
    </row>
    <row r="82" spans="1:19" x14ac:dyDescent="0.3">
      <c r="B82" t="s">
        <v>60</v>
      </c>
      <c r="S82" s="49">
        <v>24391</v>
      </c>
    </row>
    <row r="83" spans="1:19" x14ac:dyDescent="0.3">
      <c r="A83" t="s">
        <v>12</v>
      </c>
      <c r="B83" t="s">
        <v>61</v>
      </c>
      <c r="S83" s="54">
        <f ca="1">S80/S82</f>
        <v>292.37989933509976</v>
      </c>
    </row>
  </sheetData>
  <pageMargins left="0.7" right="0.7" top="0.75" bottom="0.75" header="0.3" footer="0.3"/>
  <pageSetup paperSize="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5349-61C3-43DA-93C8-97B4D47DE34B}">
  <dimension ref="A2:H22"/>
  <sheetViews>
    <sheetView showGridLines="0" zoomScaleNormal="100" workbookViewId="0">
      <selection activeCell="A22" sqref="A22"/>
    </sheetView>
  </sheetViews>
  <sheetFormatPr defaultColWidth="8.6640625" defaultRowHeight="14.4" x14ac:dyDescent="0.3"/>
  <cols>
    <col min="1" max="1" width="3.6640625" customWidth="1"/>
    <col min="6" max="6" width="12.6640625" customWidth="1"/>
  </cols>
  <sheetData>
    <row r="2" spans="1:8" s="7" customFormat="1" ht="21" x14ac:dyDescent="0.4">
      <c r="B2" s="8" t="s">
        <v>43</v>
      </c>
    </row>
    <row r="4" spans="1:8" x14ac:dyDescent="0.3">
      <c r="B4" t="s">
        <v>63</v>
      </c>
    </row>
    <row r="5" spans="1:8" x14ac:dyDescent="0.3">
      <c r="B5" t="s">
        <v>64</v>
      </c>
    </row>
    <row r="7" spans="1:8" x14ac:dyDescent="0.3">
      <c r="A7" t="s">
        <v>12</v>
      </c>
      <c r="B7" s="33" t="s">
        <v>43</v>
      </c>
      <c r="C7" s="34"/>
      <c r="D7" s="34"/>
      <c r="E7" s="34"/>
      <c r="F7" s="34"/>
    </row>
    <row r="8" spans="1:8" x14ac:dyDescent="0.3">
      <c r="B8" t="s">
        <v>65</v>
      </c>
      <c r="F8" s="30">
        <v>4943000</v>
      </c>
      <c r="G8" s="87" t="s">
        <v>126</v>
      </c>
    </row>
    <row r="9" spans="1:8" x14ac:dyDescent="0.3">
      <c r="B9" t="s">
        <v>66</v>
      </c>
      <c r="F9" s="57">
        <f>F8/(F8+F15)</f>
        <v>0.99828980011584445</v>
      </c>
      <c r="G9" s="88"/>
    </row>
    <row r="10" spans="1:8" x14ac:dyDescent="0.3">
      <c r="B10" t="s">
        <v>67</v>
      </c>
      <c r="F10" s="35">
        <f>F11+F12*F13</f>
        <v>0.14387</v>
      </c>
      <c r="G10" s="88"/>
    </row>
    <row r="11" spans="1:8" x14ac:dyDescent="0.3">
      <c r="B11" t="s">
        <v>68</v>
      </c>
      <c r="F11" s="36">
        <v>4.5749999999999999E-2</v>
      </c>
      <c r="G11" s="87" t="s">
        <v>127</v>
      </c>
    </row>
    <row r="12" spans="1:8" x14ac:dyDescent="0.3">
      <c r="B12" t="s">
        <v>69</v>
      </c>
      <c r="F12" s="37">
        <v>2.2000000000000002</v>
      </c>
      <c r="G12" s="87" t="s">
        <v>128</v>
      </c>
    </row>
    <row r="13" spans="1:8" x14ac:dyDescent="0.3">
      <c r="B13" t="s">
        <v>70</v>
      </c>
      <c r="F13" s="36">
        <v>4.4600000000000001E-2</v>
      </c>
      <c r="G13" s="87" t="s">
        <v>129</v>
      </c>
      <c r="H13" s="58"/>
    </row>
    <row r="14" spans="1:8" x14ac:dyDescent="0.3">
      <c r="G14" s="88"/>
    </row>
    <row r="15" spans="1:8" x14ac:dyDescent="0.3">
      <c r="B15" t="s">
        <v>71</v>
      </c>
      <c r="F15" s="59">
        <v>8468</v>
      </c>
      <c r="G15" s="87" t="s">
        <v>130</v>
      </c>
    </row>
    <row r="16" spans="1:8" x14ac:dyDescent="0.3">
      <c r="B16" t="s">
        <v>72</v>
      </c>
      <c r="F16" s="35">
        <f>F15/(F8+F15)</f>
        <v>1.7101998841555677E-3</v>
      </c>
    </row>
    <row r="17" spans="1:6" x14ac:dyDescent="0.3">
      <c r="B17" t="s">
        <v>73</v>
      </c>
      <c r="F17" s="36">
        <v>2.9600000000000001E-2</v>
      </c>
    </row>
    <row r="18" spans="1:6" x14ac:dyDescent="0.3">
      <c r="B18" t="s">
        <v>74</v>
      </c>
      <c r="F18" s="36">
        <f>DCF!O56</f>
        <v>0.151</v>
      </c>
    </row>
    <row r="20" spans="1:6" x14ac:dyDescent="0.3">
      <c r="B20" t="s">
        <v>75</v>
      </c>
      <c r="F20" s="30">
        <f>F8+F15</f>
        <v>4951468</v>
      </c>
    </row>
    <row r="22" spans="1:6" x14ac:dyDescent="0.3">
      <c r="A22" t="s">
        <v>12</v>
      </c>
      <c r="B22" t="s">
        <v>43</v>
      </c>
      <c r="F22" s="35">
        <f>F9*F10+(F16*F17*(1-F18))</f>
        <v>0.14366693154983534</v>
      </c>
    </row>
  </sheetData>
  <hyperlinks>
    <hyperlink ref="G15" r:id="rId1" xr:uid="{BF251996-9BEA-4711-8037-1DD3FFF97AA8}"/>
    <hyperlink ref="G8" r:id="rId2" xr:uid="{E1EE7CF0-FC95-486B-8E7B-B14F6CAFA229}"/>
    <hyperlink ref="G11" r:id="rId3" xr:uid="{61293D43-3017-4E9C-8CB5-4870049BBC74}"/>
    <hyperlink ref="G12" r:id="rId4" xr:uid="{046D9038-3EE8-44E8-9AC6-280376AC750D}"/>
    <hyperlink ref="G13" r:id="rId5" xr:uid="{7FE5596E-03C1-47D0-B628-EC6CC1E567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97FA-DEAF-4BEB-B4CA-198503F2C168}">
  <sheetPr>
    <outlinePr summaryBelow="0" summaryRight="0"/>
  </sheetPr>
  <dimension ref="A1:O50"/>
  <sheetViews>
    <sheetView topLeftCell="B3" zoomScaleNormal="100" workbookViewId="0">
      <selection activeCell="O7" sqref="O7"/>
    </sheetView>
  </sheetViews>
  <sheetFormatPr defaultColWidth="9.109375" defaultRowHeight="15" customHeight="1" outlineLevelRow="3" x14ac:dyDescent="0.25"/>
  <cols>
    <col min="1" max="1" width="53.6640625" style="1" customWidth="1"/>
    <col min="2" max="2" width="12.21875" style="1" customWidth="1"/>
    <col min="3" max="3" width="14.109375" style="1" customWidth="1"/>
    <col min="4" max="5" width="11.109375" style="1" customWidth="1"/>
    <col min="6" max="6" width="12.44140625" style="1" customWidth="1"/>
    <col min="7" max="7" width="11.44140625" style="1" customWidth="1"/>
    <col min="8" max="8" width="12.44140625" style="1" customWidth="1"/>
    <col min="9" max="10" width="10" style="1" customWidth="1"/>
    <col min="11" max="11" width="12.21875" style="1" customWidth="1"/>
    <col min="12" max="17" width="9.109375" style="1"/>
    <col min="18" max="18" width="9.109375" style="1" customWidth="1"/>
    <col min="19" max="16384" width="9.109375" style="1"/>
  </cols>
  <sheetData>
    <row r="1" spans="1:15" ht="15" customHeight="1" x14ac:dyDescent="0.25">
      <c r="A1" s="6" t="s">
        <v>9</v>
      </c>
    </row>
    <row r="2" spans="1:15" ht="15" customHeight="1" x14ac:dyDescent="0.25">
      <c r="A2" s="5" t="s">
        <v>8</v>
      </c>
    </row>
    <row r="3" spans="1:15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5" spans="1:15" ht="15" customHeight="1" x14ac:dyDescent="0.25">
      <c r="A5" s="75" t="s">
        <v>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6"/>
      <c r="M5" s="76"/>
      <c r="N5" s="76"/>
      <c r="O5" s="76"/>
    </row>
    <row r="6" spans="1:15" ht="15" customHeight="1" x14ac:dyDescent="0.25">
      <c r="A6" s="75" t="s">
        <v>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6"/>
      <c r="M6" s="76"/>
      <c r="N6" s="76"/>
      <c r="O6" s="76"/>
    </row>
    <row r="7" spans="1:15" ht="15" customHeight="1" x14ac:dyDescent="0.25">
      <c r="A7" s="75" t="s">
        <v>94</v>
      </c>
      <c r="B7" s="77">
        <v>41305</v>
      </c>
      <c r="C7" s="77">
        <v>41670</v>
      </c>
      <c r="D7" s="77">
        <v>42035</v>
      </c>
      <c r="E7" s="77">
        <v>42400</v>
      </c>
      <c r="F7" s="77">
        <v>42766</v>
      </c>
      <c r="G7" s="77">
        <v>43131</v>
      </c>
      <c r="H7" s="77">
        <v>43496</v>
      </c>
      <c r="I7" s="77">
        <v>43861</v>
      </c>
      <c r="J7" s="77">
        <v>44227</v>
      </c>
      <c r="K7" s="77">
        <v>44592</v>
      </c>
      <c r="L7" s="77">
        <v>44957</v>
      </c>
      <c r="M7" s="77">
        <v>45322</v>
      </c>
      <c r="N7" s="77">
        <v>45688</v>
      </c>
      <c r="O7" s="77">
        <v>46053</v>
      </c>
    </row>
    <row r="8" spans="1:15" ht="15" customHeight="1" x14ac:dyDescent="0.25">
      <c r="A8" s="76"/>
      <c r="B8" s="76">
        <v>2013</v>
      </c>
      <c r="C8" s="76">
        <f>B8+1</f>
        <v>2014</v>
      </c>
      <c r="D8" s="76">
        <f t="shared" ref="D8:O8" si="0">C8+1</f>
        <v>2015</v>
      </c>
      <c r="E8" s="76">
        <f t="shared" si="0"/>
        <v>2016</v>
      </c>
      <c r="F8" s="76">
        <f t="shared" si="0"/>
        <v>2017</v>
      </c>
      <c r="G8" s="76">
        <f t="shared" si="0"/>
        <v>2018</v>
      </c>
      <c r="H8" s="76">
        <f t="shared" si="0"/>
        <v>2019</v>
      </c>
      <c r="I8" s="76">
        <f t="shared" si="0"/>
        <v>2020</v>
      </c>
      <c r="J8" s="76">
        <f t="shared" si="0"/>
        <v>2021</v>
      </c>
      <c r="K8" s="76">
        <f t="shared" si="0"/>
        <v>2022</v>
      </c>
      <c r="L8" s="76">
        <f t="shared" si="0"/>
        <v>2023</v>
      </c>
      <c r="M8" s="76">
        <f t="shared" si="0"/>
        <v>2024</v>
      </c>
      <c r="N8" s="76">
        <f t="shared" si="0"/>
        <v>2025</v>
      </c>
      <c r="O8" s="76">
        <f t="shared" si="0"/>
        <v>2026</v>
      </c>
    </row>
    <row r="9" spans="1:15" ht="15" customHeight="1" x14ac:dyDescent="0.25">
      <c r="A9" s="76"/>
      <c r="B9" s="76" t="str">
        <f>"FY ' "&amp;RIGHT(B8,2)</f>
        <v>FY ' 13</v>
      </c>
      <c r="C9" s="76" t="str">
        <f t="shared" ref="C9:O9" si="1">"FY ' "&amp;RIGHT(C8,2)</f>
        <v>FY ' 14</v>
      </c>
      <c r="D9" s="76" t="str">
        <f t="shared" si="1"/>
        <v>FY ' 15</v>
      </c>
      <c r="E9" s="76" t="str">
        <f t="shared" si="1"/>
        <v>FY ' 16</v>
      </c>
      <c r="F9" s="76" t="str">
        <f t="shared" si="1"/>
        <v>FY ' 17</v>
      </c>
      <c r="G9" s="76" t="str">
        <f t="shared" si="1"/>
        <v>FY ' 18</v>
      </c>
      <c r="H9" s="76" t="str">
        <f t="shared" si="1"/>
        <v>FY ' 19</v>
      </c>
      <c r="I9" s="76" t="str">
        <f t="shared" si="1"/>
        <v>FY ' 20</v>
      </c>
      <c r="J9" s="76" t="str">
        <f t="shared" si="1"/>
        <v>FY ' 21</v>
      </c>
      <c r="K9" s="76" t="str">
        <f t="shared" si="1"/>
        <v>FY ' 22</v>
      </c>
      <c r="L9" s="76" t="str">
        <f t="shared" si="1"/>
        <v>FY ' 23</v>
      </c>
      <c r="M9" s="76" t="str">
        <f t="shared" si="1"/>
        <v>FY ' 24</v>
      </c>
      <c r="N9" s="76" t="str">
        <f t="shared" si="1"/>
        <v>FY ' 25</v>
      </c>
      <c r="O9" s="76" t="str">
        <f t="shared" si="1"/>
        <v>FY ' 26</v>
      </c>
    </row>
    <row r="10" spans="1:15" ht="15" customHeight="1" x14ac:dyDescent="0.25">
      <c r="A10" s="1" t="s">
        <v>28</v>
      </c>
      <c r="B10" s="80">
        <v>4280.1589999999997</v>
      </c>
      <c r="C10" s="80">
        <v>4130</v>
      </c>
      <c r="D10" s="80">
        <v>4682</v>
      </c>
      <c r="E10" s="80">
        <v>5010</v>
      </c>
      <c r="F10" s="80">
        <v>6910</v>
      </c>
      <c r="G10" s="80">
        <v>9714</v>
      </c>
      <c r="H10" s="80">
        <v>11716</v>
      </c>
      <c r="I10" s="80">
        <v>10918</v>
      </c>
      <c r="J10" s="80">
        <v>16675</v>
      </c>
      <c r="K10" s="80">
        <v>26914</v>
      </c>
      <c r="L10" s="80">
        <v>26974</v>
      </c>
      <c r="M10" s="80">
        <v>60922</v>
      </c>
      <c r="N10" s="80">
        <v>130497</v>
      </c>
      <c r="O10" s="80">
        <v>215938</v>
      </c>
    </row>
    <row r="11" spans="1:15" ht="15" customHeight="1" outlineLevel="1" x14ac:dyDescent="0.25">
      <c r="A11" s="1" t="s">
        <v>79</v>
      </c>
      <c r="B11" s="80">
        <v>2053.8159999999998</v>
      </c>
      <c r="C11" s="80">
        <v>1862</v>
      </c>
      <c r="D11" s="80">
        <v>2083</v>
      </c>
      <c r="E11" s="80">
        <v>2199</v>
      </c>
      <c r="F11" s="80">
        <v>2847</v>
      </c>
      <c r="G11" s="80">
        <v>3892</v>
      </c>
      <c r="H11" s="80">
        <v>4545</v>
      </c>
      <c r="I11" s="80">
        <v>4150</v>
      </c>
      <c r="J11" s="80">
        <v>6279</v>
      </c>
      <c r="K11" s="80">
        <v>9439</v>
      </c>
      <c r="L11" s="80">
        <v>11618</v>
      </c>
      <c r="M11" s="80">
        <v>16621</v>
      </c>
      <c r="N11" s="80">
        <v>32639</v>
      </c>
      <c r="O11" s="80">
        <v>62475</v>
      </c>
    </row>
    <row r="12" spans="1:15" ht="15" customHeight="1" outlineLevel="2" x14ac:dyDescent="0.25">
      <c r="A12" s="1" t="s">
        <v>80</v>
      </c>
      <c r="B12" s="80">
        <v>2226.3429999999998</v>
      </c>
      <c r="C12" s="80">
        <v>2268</v>
      </c>
      <c r="D12" s="80">
        <v>2599</v>
      </c>
      <c r="E12" s="80">
        <v>2811</v>
      </c>
      <c r="F12" s="80">
        <v>4063</v>
      </c>
      <c r="G12" s="80">
        <v>5822</v>
      </c>
      <c r="H12" s="80">
        <v>7171</v>
      </c>
      <c r="I12" s="80">
        <v>6768</v>
      </c>
      <c r="J12" s="80">
        <v>10396</v>
      </c>
      <c r="K12" s="80">
        <v>17475</v>
      </c>
      <c r="L12" s="80">
        <v>15356</v>
      </c>
      <c r="M12" s="80">
        <v>44301</v>
      </c>
      <c r="N12" s="80">
        <v>97858</v>
      </c>
      <c r="O12" s="80">
        <v>153463</v>
      </c>
    </row>
    <row r="13" spans="1:15" ht="15" customHeight="1" outlineLevel="2" x14ac:dyDescent="0.25">
      <c r="A13" s="1" t="s">
        <v>81</v>
      </c>
      <c r="B13" s="80">
        <v>1147.2819999999999</v>
      </c>
      <c r="C13" s="80">
        <v>1336</v>
      </c>
      <c r="D13" s="80">
        <v>1360</v>
      </c>
      <c r="E13" s="80">
        <v>1331</v>
      </c>
      <c r="F13" s="80">
        <v>1463</v>
      </c>
      <c r="G13" s="80">
        <v>1797</v>
      </c>
      <c r="H13" s="80">
        <v>2376</v>
      </c>
      <c r="I13" s="80">
        <v>2829</v>
      </c>
      <c r="J13" s="80">
        <v>3924</v>
      </c>
      <c r="K13" s="80">
        <v>5268</v>
      </c>
      <c r="L13" s="80">
        <v>7339</v>
      </c>
      <c r="M13" s="80">
        <v>8675</v>
      </c>
      <c r="N13" s="80">
        <v>12914</v>
      </c>
      <c r="O13" s="80">
        <v>18497</v>
      </c>
    </row>
    <row r="14" spans="1:15" ht="15" customHeight="1" outlineLevel="3" x14ac:dyDescent="0.25">
      <c r="A14" s="1" t="s">
        <v>82</v>
      </c>
      <c r="B14" s="80">
        <v>430.822</v>
      </c>
      <c r="C14" s="80">
        <v>436</v>
      </c>
      <c r="D14" s="80">
        <v>480</v>
      </c>
      <c r="E14" s="80">
        <v>602</v>
      </c>
      <c r="F14" s="80">
        <v>663</v>
      </c>
      <c r="G14" s="80">
        <v>815</v>
      </c>
      <c r="H14" s="80">
        <v>991</v>
      </c>
      <c r="I14" s="80">
        <v>1093</v>
      </c>
      <c r="J14" s="80">
        <v>1940</v>
      </c>
      <c r="K14" s="80">
        <v>2166</v>
      </c>
      <c r="L14" s="80">
        <v>2440</v>
      </c>
      <c r="M14" s="80">
        <v>2654</v>
      </c>
      <c r="N14" s="80">
        <v>3491</v>
      </c>
      <c r="O14" s="80">
        <v>4579</v>
      </c>
    </row>
    <row r="15" spans="1:15" ht="15" customHeight="1" outlineLevel="3" x14ac:dyDescent="0.25">
      <c r="A15" s="1" t="s">
        <v>83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0</v>
      </c>
    </row>
    <row r="16" spans="1:15" ht="15" customHeight="1" x14ac:dyDescent="0.25">
      <c r="A16" s="1" t="s">
        <v>84</v>
      </c>
      <c r="B16" s="80">
        <v>1578.104</v>
      </c>
      <c r="C16" s="80">
        <v>1772</v>
      </c>
      <c r="D16" s="80">
        <v>1840</v>
      </c>
      <c r="E16" s="80">
        <v>2064</v>
      </c>
      <c r="F16" s="80">
        <v>2129</v>
      </c>
      <c r="G16" s="80">
        <v>2612</v>
      </c>
      <c r="H16" s="80">
        <v>3367</v>
      </c>
      <c r="I16" s="80">
        <v>3922</v>
      </c>
      <c r="J16" s="80">
        <v>5864</v>
      </c>
      <c r="K16" s="80">
        <v>7434</v>
      </c>
      <c r="L16" s="80">
        <v>11132</v>
      </c>
      <c r="M16" s="80">
        <v>11329</v>
      </c>
      <c r="N16" s="80">
        <v>16405</v>
      </c>
      <c r="O16" s="80">
        <v>23076</v>
      </c>
    </row>
    <row r="17" spans="1:15" ht="15" customHeight="1" outlineLevel="1" x14ac:dyDescent="0.25">
      <c r="A17" s="1" t="s">
        <v>10</v>
      </c>
      <c r="B17" s="80">
        <v>648.23900000000003</v>
      </c>
      <c r="C17" s="80">
        <v>496</v>
      </c>
      <c r="D17" s="80">
        <v>759</v>
      </c>
      <c r="E17" s="80">
        <v>747</v>
      </c>
      <c r="F17" s="80">
        <v>1934</v>
      </c>
      <c r="G17" s="80">
        <v>3210</v>
      </c>
      <c r="H17" s="80">
        <v>3804</v>
      </c>
      <c r="I17" s="80">
        <v>2846</v>
      </c>
      <c r="J17" s="80">
        <v>4532</v>
      </c>
      <c r="K17" s="80">
        <v>10041</v>
      </c>
      <c r="L17" s="80">
        <v>4224</v>
      </c>
      <c r="M17" s="80">
        <v>32972</v>
      </c>
      <c r="N17" s="80">
        <v>81453</v>
      </c>
      <c r="O17" s="80">
        <v>130387</v>
      </c>
    </row>
    <row r="18" spans="1:15" ht="15" customHeight="1" outlineLevel="2" x14ac:dyDescent="0.25">
      <c r="A18" s="1" t="s">
        <v>85</v>
      </c>
      <c r="B18" s="80">
        <v>13.8</v>
      </c>
      <c r="C18" s="80">
        <v>14</v>
      </c>
      <c r="D18" s="80">
        <v>-4</v>
      </c>
      <c r="E18" s="80">
        <v>-4</v>
      </c>
      <c r="F18" s="80">
        <v>-29</v>
      </c>
      <c r="G18" s="80">
        <v>-14</v>
      </c>
      <c r="H18" s="80">
        <v>92</v>
      </c>
      <c r="I18" s="80">
        <v>124</v>
      </c>
      <c r="J18" s="80">
        <v>-123</v>
      </c>
      <c r="K18" s="80">
        <v>-100</v>
      </c>
      <c r="L18" s="80">
        <v>-43</v>
      </c>
      <c r="M18" s="80">
        <v>846</v>
      </c>
      <c r="N18" s="80">
        <v>2573</v>
      </c>
      <c r="O18" s="80">
        <v>11063</v>
      </c>
    </row>
    <row r="19" spans="1:15" ht="15" customHeight="1" outlineLevel="2" x14ac:dyDescent="0.25">
      <c r="A19" s="1" t="s">
        <v>86</v>
      </c>
      <c r="B19" s="80">
        <v>662.03899999999999</v>
      </c>
      <c r="C19" s="80">
        <v>510</v>
      </c>
      <c r="D19" s="80">
        <v>755</v>
      </c>
      <c r="E19" s="80">
        <v>743</v>
      </c>
      <c r="F19" s="80">
        <v>1905</v>
      </c>
      <c r="G19" s="80">
        <v>3196</v>
      </c>
      <c r="H19" s="80">
        <v>3896</v>
      </c>
      <c r="I19" s="80">
        <v>2970</v>
      </c>
      <c r="J19" s="80">
        <v>4409</v>
      </c>
      <c r="K19" s="80">
        <v>9941</v>
      </c>
      <c r="L19" s="80">
        <v>4181</v>
      </c>
      <c r="M19" s="80">
        <v>33818</v>
      </c>
      <c r="N19" s="80">
        <v>84026</v>
      </c>
      <c r="O19" s="80">
        <v>141450</v>
      </c>
    </row>
    <row r="20" spans="1:15" ht="15" customHeight="1" outlineLevel="1" x14ac:dyDescent="0.25">
      <c r="A20" s="1" t="s">
        <v>5</v>
      </c>
      <c r="B20" s="80">
        <v>99.503</v>
      </c>
      <c r="C20" s="80">
        <v>70</v>
      </c>
      <c r="D20" s="80">
        <v>124</v>
      </c>
      <c r="E20" s="80">
        <v>129</v>
      </c>
      <c r="F20" s="80">
        <v>239</v>
      </c>
      <c r="G20" s="80">
        <v>149</v>
      </c>
      <c r="H20" s="80">
        <v>-245</v>
      </c>
      <c r="I20" s="80">
        <v>174</v>
      </c>
      <c r="J20" s="80">
        <v>77</v>
      </c>
      <c r="K20" s="80">
        <v>189</v>
      </c>
      <c r="L20" s="80">
        <v>-187</v>
      </c>
      <c r="M20" s="80">
        <v>4058</v>
      </c>
      <c r="N20" s="80">
        <v>11146</v>
      </c>
      <c r="O20" s="80">
        <v>21383</v>
      </c>
    </row>
    <row r="21" spans="1:15" ht="15" customHeight="1" x14ac:dyDescent="0.25">
      <c r="A21" s="1" t="s">
        <v>87</v>
      </c>
      <c r="B21" s="80">
        <v>562.53599999999994</v>
      </c>
      <c r="C21" s="80">
        <v>440</v>
      </c>
      <c r="D21" s="80">
        <v>631</v>
      </c>
      <c r="E21" s="80">
        <v>614</v>
      </c>
      <c r="F21" s="80">
        <v>1666</v>
      </c>
      <c r="G21" s="80">
        <v>3047</v>
      </c>
      <c r="H21" s="80">
        <v>4141</v>
      </c>
      <c r="I21" s="80">
        <v>2796</v>
      </c>
      <c r="J21" s="80">
        <v>4332</v>
      </c>
      <c r="K21" s="80">
        <v>9752</v>
      </c>
      <c r="L21" s="80">
        <v>4368</v>
      </c>
      <c r="M21" s="80">
        <v>29760</v>
      </c>
      <c r="N21" s="80">
        <v>72880</v>
      </c>
      <c r="O21" s="80">
        <v>120067</v>
      </c>
    </row>
    <row r="22" spans="1:15" ht="15" customHeight="1" outlineLevel="1" x14ac:dyDescent="0.25">
      <c r="A22" s="1" t="s">
        <v>88</v>
      </c>
      <c r="B22" s="80">
        <v>0</v>
      </c>
      <c r="C22" s="80">
        <v>0</v>
      </c>
      <c r="D22" s="80">
        <v>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  <c r="N22" s="80">
        <v>0</v>
      </c>
      <c r="O22" s="80">
        <v>0</v>
      </c>
    </row>
    <row r="23" spans="1:15" ht="15" customHeight="1" outlineLevel="2" x14ac:dyDescent="0.25">
      <c r="A23" s="1" t="s">
        <v>89</v>
      </c>
      <c r="B23" s="80">
        <v>562.53599999999994</v>
      </c>
      <c r="C23" s="80">
        <v>440</v>
      </c>
      <c r="D23" s="80">
        <v>631</v>
      </c>
      <c r="E23" s="80">
        <v>614</v>
      </c>
      <c r="F23" s="80">
        <v>1666</v>
      </c>
      <c r="G23" s="80">
        <v>3047</v>
      </c>
      <c r="H23" s="80">
        <v>4141</v>
      </c>
      <c r="I23" s="80">
        <v>2796</v>
      </c>
      <c r="J23" s="80">
        <v>4332</v>
      </c>
      <c r="K23" s="80">
        <v>9752</v>
      </c>
      <c r="L23" s="80">
        <v>4368</v>
      </c>
      <c r="M23" s="80">
        <v>29760</v>
      </c>
      <c r="N23" s="80">
        <v>72880</v>
      </c>
      <c r="O23" s="80">
        <v>120067</v>
      </c>
    </row>
    <row r="24" spans="1:15" ht="15" customHeight="1" outlineLevel="2" x14ac:dyDescent="0.25">
      <c r="A24" s="1" t="s">
        <v>90</v>
      </c>
      <c r="B24" s="80">
        <v>0</v>
      </c>
      <c r="C24" s="80">
        <v>0</v>
      </c>
      <c r="D24" s="80">
        <v>0</v>
      </c>
      <c r="E24" s="80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>
        <v>0</v>
      </c>
      <c r="L24" s="80">
        <v>0</v>
      </c>
      <c r="M24" s="80">
        <v>0</v>
      </c>
      <c r="N24" s="80">
        <v>0</v>
      </c>
      <c r="O24" s="80">
        <v>0</v>
      </c>
    </row>
    <row r="25" spans="1:15" ht="15" customHeight="1" outlineLevel="1" x14ac:dyDescent="0.25">
      <c r="A25" s="1" t="s">
        <v>4</v>
      </c>
      <c r="B25" s="80">
        <v>562.53599999999994</v>
      </c>
      <c r="C25" s="80">
        <v>440</v>
      </c>
      <c r="D25" s="80">
        <v>631</v>
      </c>
      <c r="E25" s="80">
        <v>614</v>
      </c>
      <c r="F25" s="80">
        <v>1666</v>
      </c>
      <c r="G25" s="80">
        <v>3047</v>
      </c>
      <c r="H25" s="80">
        <v>4141</v>
      </c>
      <c r="I25" s="80">
        <v>2796</v>
      </c>
      <c r="J25" s="80">
        <v>4332</v>
      </c>
      <c r="K25" s="80">
        <v>9752</v>
      </c>
      <c r="L25" s="80">
        <v>4368</v>
      </c>
      <c r="M25" s="80">
        <v>29760</v>
      </c>
      <c r="N25" s="80">
        <v>72880</v>
      </c>
      <c r="O25" s="80">
        <v>120067</v>
      </c>
    </row>
    <row r="26" spans="1:15" ht="15" customHeight="1" outlineLevel="2" x14ac:dyDescent="0.25">
      <c r="A26" s="1" t="s">
        <v>2</v>
      </c>
      <c r="B26" s="80">
        <v>874.47400000000005</v>
      </c>
      <c r="C26" s="80">
        <v>740</v>
      </c>
      <c r="D26" s="80">
        <v>1007</v>
      </c>
      <c r="E26" s="80">
        <v>973</v>
      </c>
      <c r="F26" s="80">
        <v>2121</v>
      </c>
      <c r="G26" s="80">
        <v>3409</v>
      </c>
      <c r="H26" s="80">
        <v>4066</v>
      </c>
      <c r="I26" s="80">
        <v>3227</v>
      </c>
      <c r="J26" s="80">
        <v>5630</v>
      </c>
      <c r="K26" s="80">
        <v>11215</v>
      </c>
      <c r="L26" s="80">
        <v>5768</v>
      </c>
      <c r="M26" s="80">
        <v>34480</v>
      </c>
      <c r="N26" s="80">
        <v>83317</v>
      </c>
      <c r="O26" s="80">
        <v>133230</v>
      </c>
    </row>
    <row r="27" spans="1:15" ht="15" customHeight="1" outlineLevel="1" x14ac:dyDescent="0.25">
      <c r="A27" s="1" t="s">
        <v>1</v>
      </c>
      <c r="B27" s="80">
        <v>648.23900000000003</v>
      </c>
      <c r="C27" s="80">
        <v>496</v>
      </c>
      <c r="D27" s="80">
        <v>759</v>
      </c>
      <c r="E27" s="80">
        <v>747</v>
      </c>
      <c r="F27" s="80">
        <v>1934</v>
      </c>
      <c r="G27" s="80">
        <v>3210</v>
      </c>
      <c r="H27" s="80">
        <v>3804</v>
      </c>
      <c r="I27" s="80">
        <v>2846</v>
      </c>
      <c r="J27" s="80">
        <v>4532</v>
      </c>
      <c r="K27" s="80">
        <v>10041</v>
      </c>
      <c r="L27" s="80">
        <v>4224</v>
      </c>
      <c r="M27" s="80">
        <v>32972</v>
      </c>
      <c r="N27" s="80">
        <v>81453</v>
      </c>
      <c r="O27" s="80">
        <v>130387</v>
      </c>
    </row>
    <row r="28" spans="1:15" ht="15" customHeight="1" outlineLevel="2" x14ac:dyDescent="0.25">
      <c r="A28" s="1" t="s">
        <v>3</v>
      </c>
      <c r="B28" s="80">
        <v>24773</v>
      </c>
      <c r="C28" s="80">
        <v>23520</v>
      </c>
      <c r="D28" s="80">
        <v>22080</v>
      </c>
      <c r="E28" s="80">
        <v>21720</v>
      </c>
      <c r="F28" s="80">
        <v>21640</v>
      </c>
      <c r="G28" s="80">
        <v>23960</v>
      </c>
      <c r="H28" s="80">
        <v>24320</v>
      </c>
      <c r="I28" s="80">
        <v>24390</v>
      </c>
      <c r="J28" s="80">
        <v>24670</v>
      </c>
      <c r="K28" s="80">
        <v>24960</v>
      </c>
      <c r="L28" s="80">
        <v>24870</v>
      </c>
      <c r="M28" s="80">
        <v>24690</v>
      </c>
      <c r="N28" s="80">
        <v>24555</v>
      </c>
      <c r="O28" s="80">
        <v>24359</v>
      </c>
    </row>
    <row r="29" spans="1:15" ht="15" customHeight="1" outlineLevel="2" x14ac:dyDescent="0.25">
      <c r="A29" s="1" t="s">
        <v>91</v>
      </c>
      <c r="B29" s="80">
        <v>24998</v>
      </c>
      <c r="C29" s="80">
        <v>23800</v>
      </c>
      <c r="D29" s="80">
        <v>22520</v>
      </c>
      <c r="E29" s="80">
        <v>22760</v>
      </c>
      <c r="F29" s="80">
        <v>21960</v>
      </c>
      <c r="G29" s="80">
        <v>25280</v>
      </c>
      <c r="H29" s="80">
        <v>25000</v>
      </c>
      <c r="I29" s="80">
        <v>24720</v>
      </c>
      <c r="J29" s="80">
        <v>25100</v>
      </c>
      <c r="K29" s="80">
        <v>25350</v>
      </c>
      <c r="L29" s="80">
        <v>25070</v>
      </c>
      <c r="M29" s="80">
        <v>24940</v>
      </c>
      <c r="N29" s="80">
        <v>24804</v>
      </c>
      <c r="O29" s="80">
        <v>24514</v>
      </c>
    </row>
    <row r="30" spans="1:15" ht="15" customHeight="1" outlineLevel="3" x14ac:dyDescent="0.25">
      <c r="A30" s="1" t="s">
        <v>92</v>
      </c>
      <c r="B30" s="80">
        <v>0.02</v>
      </c>
      <c r="C30" s="80">
        <v>0.02</v>
      </c>
      <c r="D30" s="80">
        <v>0.03</v>
      </c>
      <c r="E30" s="80">
        <v>0.03</v>
      </c>
      <c r="F30" s="80">
        <v>0.08</v>
      </c>
      <c r="G30" s="80">
        <v>0.13</v>
      </c>
      <c r="H30" s="80">
        <v>0.17</v>
      </c>
      <c r="I30" s="80">
        <v>0.12</v>
      </c>
      <c r="J30" s="80">
        <v>0.18</v>
      </c>
      <c r="K30" s="80">
        <v>0.39</v>
      </c>
      <c r="L30" s="80">
        <v>0.18</v>
      </c>
      <c r="M30" s="80">
        <v>1.21</v>
      </c>
      <c r="N30" s="80">
        <v>2.97</v>
      </c>
      <c r="O30" s="80">
        <v>4.93</v>
      </c>
    </row>
    <row r="31" spans="1:15" ht="15" customHeight="1" x14ac:dyDescent="0.25">
      <c r="A31" s="1" t="s">
        <v>93</v>
      </c>
      <c r="B31" s="80">
        <v>0.02</v>
      </c>
      <c r="C31" s="80">
        <v>0.02</v>
      </c>
      <c r="D31" s="80">
        <v>0.03</v>
      </c>
      <c r="E31" s="80">
        <v>0.03</v>
      </c>
      <c r="F31" s="80">
        <v>0.06</v>
      </c>
      <c r="G31" s="80">
        <v>0.12</v>
      </c>
      <c r="H31" s="80">
        <v>0.17</v>
      </c>
      <c r="I31" s="80">
        <v>0.11</v>
      </c>
      <c r="J31" s="80">
        <v>0.17</v>
      </c>
      <c r="K31" s="80">
        <v>0.39</v>
      </c>
      <c r="L31" s="80">
        <v>0.17</v>
      </c>
      <c r="M31" s="80">
        <v>1.19</v>
      </c>
      <c r="N31" s="80">
        <v>2.94</v>
      </c>
      <c r="O31" s="80">
        <v>4.9000000000000004</v>
      </c>
    </row>
    <row r="32" spans="1:15" ht="15" customHeight="1" outlineLevel="1" x14ac:dyDescent="0.25">
      <c r="A32" s="2" t="s">
        <v>0</v>
      </c>
      <c r="B32" s="66"/>
      <c r="C32" s="66"/>
      <c r="D32" s="66"/>
      <c r="E32" s="66"/>
      <c r="F32" s="67"/>
      <c r="G32" s="66"/>
      <c r="H32" s="66"/>
      <c r="I32" s="66"/>
      <c r="J32" s="67"/>
      <c r="K32" s="66"/>
    </row>
    <row r="33" spans="1:11" ht="15" customHeight="1" x14ac:dyDescent="0.25">
      <c r="A33" s="68"/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1" ht="15" customHeight="1" x14ac:dyDescent="0.25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0"/>
    </row>
    <row r="35" spans="1:11" ht="15" customHeight="1" outlineLevel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</row>
    <row r="36" spans="1:11" ht="15" customHeight="1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1:11" ht="15" customHeight="1" outlineLevel="1" x14ac:dyDescent="0.25">
      <c r="A37" s="65"/>
      <c r="B37" s="71"/>
      <c r="C37" s="71"/>
      <c r="D37" s="71"/>
      <c r="E37" s="71"/>
      <c r="F37" s="71"/>
      <c r="G37" s="71"/>
      <c r="H37" s="71"/>
      <c r="I37" s="71"/>
      <c r="J37" s="71"/>
      <c r="K37" s="71"/>
    </row>
    <row r="38" spans="1:11" ht="15" customHeight="1" outlineLevel="1" x14ac:dyDescent="0.25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</row>
    <row r="39" spans="1:11" ht="15" customHeight="1" outlineLevel="2" x14ac:dyDescent="0.25">
      <c r="A39" s="74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spans="1:11" ht="15" customHeight="1" outlineLevel="2" x14ac:dyDescent="0.25">
      <c r="A40" s="74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spans="1:11" ht="15" customHeight="1" outlineLevel="1" x14ac:dyDescent="0.25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2" spans="1:11" ht="15" customHeight="1" outlineLevel="2" x14ac:dyDescent="0.25">
      <c r="A42" s="74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spans="1:11" ht="15" customHeight="1" outlineLevel="2" x14ac:dyDescent="0.25">
      <c r="A43" s="74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spans="1:11" ht="15" customHeight="1" outlineLevel="1" x14ac:dyDescent="0.25">
      <c r="A44" s="65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spans="1:11" ht="15" customHeight="1" outlineLevel="1" x14ac:dyDescent="0.25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</row>
    <row r="46" spans="1:11" ht="15" customHeight="1" outlineLevel="2" x14ac:dyDescent="0.25">
      <c r="A46" s="74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spans="1:11" ht="15" customHeight="1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1:11" ht="15" customHeight="1" outlineLevel="1" x14ac:dyDescent="0.25">
      <c r="A48" s="72"/>
      <c r="B48" s="70"/>
      <c r="C48" s="70"/>
      <c r="D48" s="70"/>
      <c r="E48" s="70"/>
      <c r="F48" s="70"/>
      <c r="G48" s="70"/>
      <c r="H48" s="70"/>
      <c r="I48" s="70"/>
      <c r="J48" s="70"/>
      <c r="K48" s="70"/>
    </row>
    <row r="49" spans="1:11" ht="15" customHeight="1" outlineLevel="2" x14ac:dyDescent="0.25">
      <c r="A49" s="74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spans="1:11" ht="15" customHeight="1" outlineLevel="2" x14ac:dyDescent="0.25">
      <c r="A50" s="74"/>
      <c r="B50" s="66"/>
      <c r="C50" s="66"/>
      <c r="D50" s="66"/>
      <c r="E50" s="66"/>
      <c r="F50" s="66"/>
      <c r="G50" s="66"/>
      <c r="H50" s="66"/>
      <c r="I50" s="66"/>
      <c r="J50" s="66"/>
      <c r="K50" s="6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0C6E-B76A-44A1-99B4-3BD1FF829ACD}">
  <sheetPr>
    <outlinePr summaryBelow="0" summaryRight="0"/>
  </sheetPr>
  <dimension ref="A1:O60"/>
  <sheetViews>
    <sheetView tabSelected="1" topLeftCell="A9" zoomScale="70" zoomScaleNormal="100" workbookViewId="0">
      <selection activeCell="A29" sqref="A29"/>
    </sheetView>
  </sheetViews>
  <sheetFormatPr defaultColWidth="9.109375" defaultRowHeight="15" customHeight="1" outlineLevelRow="3" x14ac:dyDescent="0.25"/>
  <cols>
    <col min="1" max="1" width="53.6640625" style="1" customWidth="1"/>
    <col min="2" max="2" width="11.44140625" style="1" customWidth="1"/>
    <col min="3" max="3" width="12.5546875" style="1" customWidth="1"/>
    <col min="4" max="4" width="12.44140625" style="1" customWidth="1"/>
    <col min="5" max="5" width="9.77734375" style="1" customWidth="1"/>
    <col min="6" max="6" width="12.109375" style="1" customWidth="1"/>
    <col min="7" max="7" width="10.6640625" style="1" customWidth="1"/>
    <col min="8" max="8" width="12.44140625" style="1" customWidth="1"/>
    <col min="9" max="9" width="12.5546875" style="1" customWidth="1"/>
    <col min="10" max="10" width="12.109375" style="1" customWidth="1"/>
    <col min="11" max="11" width="11.33203125" style="1" customWidth="1"/>
    <col min="12" max="12" width="11.44140625" style="1" customWidth="1"/>
    <col min="13" max="13" width="13.109375" style="1" customWidth="1"/>
    <col min="14" max="14" width="12.44140625" style="1" customWidth="1"/>
    <col min="15" max="15" width="12.109375" style="1" customWidth="1"/>
    <col min="16" max="16384" width="9.109375" style="1"/>
  </cols>
  <sheetData>
    <row r="1" spans="1:15" ht="15" customHeight="1" x14ac:dyDescent="0.25">
      <c r="A1" s="6" t="s">
        <v>9</v>
      </c>
    </row>
    <row r="2" spans="1:15" ht="15" customHeight="1" x14ac:dyDescent="0.25">
      <c r="A2" s="5" t="s">
        <v>8</v>
      </c>
    </row>
    <row r="3" spans="1:15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5" spans="1:15" ht="15" customHeight="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" customHeight="1" x14ac:dyDescent="0.25">
      <c r="A7" s="3" t="s">
        <v>94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" customHeight="1" x14ac:dyDescent="0.25">
      <c r="A8" s="76"/>
      <c r="B8" s="76">
        <v>2013</v>
      </c>
      <c r="C8" s="76">
        <f>B8+1</f>
        <v>2014</v>
      </c>
      <c r="D8" s="76">
        <f t="shared" ref="D8:O8" si="0">C8+1</f>
        <v>2015</v>
      </c>
      <c r="E8" s="76">
        <f t="shared" si="0"/>
        <v>2016</v>
      </c>
      <c r="F8" s="76">
        <f>E8+1</f>
        <v>2017</v>
      </c>
      <c r="G8" s="76">
        <f t="shared" si="0"/>
        <v>2018</v>
      </c>
      <c r="H8" s="76">
        <f t="shared" si="0"/>
        <v>2019</v>
      </c>
      <c r="I8" s="76">
        <f t="shared" si="0"/>
        <v>2020</v>
      </c>
      <c r="J8" s="76">
        <f t="shared" si="0"/>
        <v>2021</v>
      </c>
      <c r="K8" s="76">
        <f t="shared" si="0"/>
        <v>2022</v>
      </c>
      <c r="L8" s="76">
        <f t="shared" si="0"/>
        <v>2023</v>
      </c>
      <c r="M8" s="76">
        <f t="shared" si="0"/>
        <v>2024</v>
      </c>
      <c r="N8" s="76">
        <f t="shared" si="0"/>
        <v>2025</v>
      </c>
      <c r="O8" s="76">
        <f t="shared" si="0"/>
        <v>2026</v>
      </c>
    </row>
    <row r="9" spans="1:15" ht="15" customHeight="1" x14ac:dyDescent="0.25">
      <c r="A9" s="76"/>
      <c r="B9" s="76" t="str">
        <f>"FY ' "&amp;RIGHT(B8,2)</f>
        <v>FY ' 13</v>
      </c>
      <c r="C9" s="76" t="str">
        <f t="shared" ref="C9:O9" si="1">"FY ' "&amp;RIGHT(C8,2)</f>
        <v>FY ' 14</v>
      </c>
      <c r="D9" s="76" t="str">
        <f t="shared" si="1"/>
        <v>FY ' 15</v>
      </c>
      <c r="E9" s="76" t="str">
        <f t="shared" si="1"/>
        <v>FY ' 16</v>
      </c>
      <c r="F9" s="76" t="str">
        <f t="shared" si="1"/>
        <v>FY ' 17</v>
      </c>
      <c r="G9" s="76" t="str">
        <f t="shared" si="1"/>
        <v>FY ' 18</v>
      </c>
      <c r="H9" s="76" t="str">
        <f t="shared" si="1"/>
        <v>FY ' 19</v>
      </c>
      <c r="I9" s="76" t="str">
        <f t="shared" si="1"/>
        <v>FY ' 20</v>
      </c>
      <c r="J9" s="76" t="str">
        <f t="shared" si="1"/>
        <v>FY ' 21</v>
      </c>
      <c r="K9" s="76" t="str">
        <f t="shared" si="1"/>
        <v>FY ' 22</v>
      </c>
      <c r="L9" s="76" t="str">
        <f t="shared" si="1"/>
        <v>FY ' 23</v>
      </c>
      <c r="M9" s="76" t="str">
        <f t="shared" si="1"/>
        <v>FY ' 24</v>
      </c>
      <c r="N9" s="76" t="str">
        <f t="shared" si="1"/>
        <v>FY ' 25</v>
      </c>
      <c r="O9" s="76" t="str">
        <f t="shared" si="1"/>
        <v>FY ' 26</v>
      </c>
    </row>
    <row r="10" spans="1:15" ht="15" customHeight="1" outlineLevel="1" x14ac:dyDescent="0.25">
      <c r="A10" s="1" t="s">
        <v>42</v>
      </c>
      <c r="B10" s="64">
        <v>41305</v>
      </c>
      <c r="C10" s="64">
        <v>41670</v>
      </c>
      <c r="D10" s="64">
        <v>42035</v>
      </c>
      <c r="E10" s="64">
        <v>42400</v>
      </c>
      <c r="F10" s="64">
        <v>42766</v>
      </c>
      <c r="G10" s="64">
        <v>43131</v>
      </c>
      <c r="H10" s="64">
        <v>43496</v>
      </c>
      <c r="I10" s="64">
        <v>43861</v>
      </c>
      <c r="J10" s="64">
        <v>44227</v>
      </c>
      <c r="K10" s="64">
        <v>44592</v>
      </c>
      <c r="L10" s="64">
        <v>44957</v>
      </c>
      <c r="M10" s="64">
        <v>45322</v>
      </c>
      <c r="N10" s="64">
        <v>45688</v>
      </c>
      <c r="O10" s="64">
        <v>46053</v>
      </c>
    </row>
    <row r="11" spans="1:15" ht="15" customHeight="1" outlineLevel="1" x14ac:dyDescent="0.25">
      <c r="A11" s="1" t="s">
        <v>95</v>
      </c>
      <c r="B11" s="80">
        <v>562.53599999999994</v>
      </c>
      <c r="C11" s="80">
        <v>440</v>
      </c>
      <c r="D11" s="80">
        <v>631</v>
      </c>
      <c r="E11" s="80">
        <v>614</v>
      </c>
      <c r="F11" s="80">
        <v>1666</v>
      </c>
      <c r="G11" s="80">
        <v>3047</v>
      </c>
      <c r="H11" s="80">
        <v>4141</v>
      </c>
      <c r="I11" s="80">
        <v>2796</v>
      </c>
      <c r="J11" s="80">
        <v>4332</v>
      </c>
      <c r="K11" s="80">
        <v>9752</v>
      </c>
      <c r="L11" s="80">
        <v>4368</v>
      </c>
      <c r="M11" s="80">
        <v>29760</v>
      </c>
      <c r="N11" s="80">
        <v>72880</v>
      </c>
      <c r="O11" s="80">
        <v>120067</v>
      </c>
    </row>
    <row r="12" spans="1:15" ht="15" customHeight="1" outlineLevel="2" x14ac:dyDescent="0.25">
      <c r="A12" s="1" t="s">
        <v>96</v>
      </c>
      <c r="B12" s="80">
        <v>226.23500000000001</v>
      </c>
      <c r="C12" s="80">
        <v>244</v>
      </c>
      <c r="D12" s="80">
        <v>248</v>
      </c>
      <c r="E12" s="80">
        <v>226</v>
      </c>
      <c r="F12" s="80">
        <v>187</v>
      </c>
      <c r="G12" s="80">
        <v>199</v>
      </c>
      <c r="H12" s="80">
        <v>262</v>
      </c>
      <c r="I12" s="80">
        <v>381</v>
      </c>
      <c r="J12" s="80">
        <v>1098</v>
      </c>
      <c r="K12" s="80">
        <v>1174</v>
      </c>
      <c r="L12" s="80">
        <v>1544</v>
      </c>
      <c r="M12" s="80">
        <v>1508</v>
      </c>
      <c r="N12" s="80">
        <v>1864</v>
      </c>
      <c r="O12" s="80">
        <v>2843</v>
      </c>
    </row>
    <row r="13" spans="1:15" ht="15" customHeight="1" outlineLevel="2" x14ac:dyDescent="0.25">
      <c r="A13" s="1" t="s">
        <v>97</v>
      </c>
      <c r="B13" s="80">
        <v>168.864</v>
      </c>
      <c r="C13" s="80">
        <v>138</v>
      </c>
      <c r="D13" s="80">
        <v>230</v>
      </c>
      <c r="E13" s="80">
        <v>386</v>
      </c>
      <c r="F13" s="80">
        <v>498</v>
      </c>
      <c r="G13" s="80">
        <v>71</v>
      </c>
      <c r="H13" s="80">
        <v>197</v>
      </c>
      <c r="I13" s="80">
        <v>867</v>
      </c>
      <c r="J13" s="80">
        <v>1095</v>
      </c>
      <c r="K13" s="80">
        <v>1545</v>
      </c>
      <c r="L13" s="80">
        <v>1936</v>
      </c>
      <c r="M13" s="80">
        <v>544</v>
      </c>
      <c r="N13" s="80">
        <v>-1272</v>
      </c>
      <c r="O13" s="80">
        <v>-4243</v>
      </c>
    </row>
    <row r="14" spans="1:15" ht="15" customHeight="1" outlineLevel="1" x14ac:dyDescent="0.25">
      <c r="A14" s="1" t="s">
        <v>98</v>
      </c>
      <c r="B14" s="80">
        <v>395.09899999999999</v>
      </c>
      <c r="C14" s="80">
        <v>382</v>
      </c>
      <c r="D14" s="80">
        <v>478</v>
      </c>
      <c r="E14" s="80">
        <v>612</v>
      </c>
      <c r="F14" s="80">
        <v>685</v>
      </c>
      <c r="G14" s="80">
        <v>270</v>
      </c>
      <c r="H14" s="80">
        <v>459</v>
      </c>
      <c r="I14" s="80">
        <v>1248</v>
      </c>
      <c r="J14" s="80">
        <v>2193</v>
      </c>
      <c r="K14" s="80">
        <v>2719</v>
      </c>
      <c r="L14" s="80">
        <v>3480</v>
      </c>
      <c r="M14" s="80">
        <v>2052</v>
      </c>
      <c r="N14" s="80">
        <v>592</v>
      </c>
      <c r="O14" s="80">
        <v>-1400</v>
      </c>
    </row>
    <row r="15" spans="1:15" ht="15" customHeight="1" outlineLevel="2" x14ac:dyDescent="0.25">
      <c r="A15" s="1" t="s">
        <v>99</v>
      </c>
      <c r="B15" s="80">
        <v>-118.94</v>
      </c>
      <c r="C15" s="80">
        <v>29</v>
      </c>
      <c r="D15" s="80">
        <v>-49</v>
      </c>
      <c r="E15" s="80">
        <v>-32</v>
      </c>
      <c r="F15" s="80">
        <v>-321</v>
      </c>
      <c r="G15" s="80">
        <v>-440</v>
      </c>
      <c r="H15" s="80">
        <v>-149</v>
      </c>
      <c r="I15" s="80">
        <v>-233</v>
      </c>
      <c r="J15" s="80">
        <v>-550</v>
      </c>
      <c r="K15" s="80">
        <v>-2215</v>
      </c>
      <c r="L15" s="80">
        <v>822</v>
      </c>
      <c r="M15" s="80">
        <v>-6172</v>
      </c>
      <c r="N15" s="80">
        <v>-13063</v>
      </c>
      <c r="O15" s="80">
        <v>-15399</v>
      </c>
    </row>
    <row r="16" spans="1:15" ht="15" customHeight="1" outlineLevel="1" x14ac:dyDescent="0.25">
      <c r="A16" s="1" t="s">
        <v>100</v>
      </c>
      <c r="B16" s="80">
        <v>-78.948999999999998</v>
      </c>
      <c r="C16" s="80">
        <v>25</v>
      </c>
      <c r="D16" s="80">
        <v>-95</v>
      </c>
      <c r="E16" s="80">
        <v>66</v>
      </c>
      <c r="F16" s="80">
        <v>-375</v>
      </c>
      <c r="G16" s="80">
        <v>0</v>
      </c>
      <c r="H16" s="80">
        <v>-776</v>
      </c>
      <c r="I16" s="80">
        <v>597</v>
      </c>
      <c r="J16" s="80">
        <v>-524</v>
      </c>
      <c r="K16" s="80">
        <v>-774</v>
      </c>
      <c r="L16" s="80">
        <v>-2554</v>
      </c>
      <c r="M16" s="80">
        <v>-98</v>
      </c>
      <c r="N16" s="80">
        <v>-4781</v>
      </c>
      <c r="O16" s="80">
        <v>-11324</v>
      </c>
    </row>
    <row r="17" spans="1:15" ht="15" customHeight="1" outlineLevel="1" x14ac:dyDescent="0.25">
      <c r="A17" s="1" t="s">
        <v>101</v>
      </c>
      <c r="B17" s="80">
        <v>10.885</v>
      </c>
      <c r="C17" s="80">
        <v>-20</v>
      </c>
      <c r="D17" s="80">
        <v>-27</v>
      </c>
      <c r="E17" s="80">
        <v>-11</v>
      </c>
      <c r="F17" s="80">
        <v>184</v>
      </c>
      <c r="G17" s="80">
        <v>90</v>
      </c>
      <c r="H17" s="80">
        <v>-135</v>
      </c>
      <c r="I17" s="80">
        <v>194</v>
      </c>
      <c r="J17" s="80">
        <v>312</v>
      </c>
      <c r="K17" s="80">
        <v>568</v>
      </c>
      <c r="L17" s="80">
        <v>-551</v>
      </c>
      <c r="M17" s="80">
        <v>1531</v>
      </c>
      <c r="N17" s="80">
        <v>3357</v>
      </c>
      <c r="O17" s="80">
        <v>3096</v>
      </c>
    </row>
    <row r="18" spans="1:15" ht="15" customHeight="1" outlineLevel="1" x14ac:dyDescent="0.25">
      <c r="A18" s="1" t="s">
        <v>102</v>
      </c>
      <c r="B18" s="80">
        <v>36.188000000000002</v>
      </c>
      <c r="C18" s="80">
        <v>12</v>
      </c>
      <c r="D18" s="80">
        <v>4</v>
      </c>
      <c r="E18" s="80">
        <v>-16</v>
      </c>
      <c r="F18" s="80">
        <v>-18</v>
      </c>
      <c r="G18" s="80">
        <v>21</v>
      </c>
      <c r="H18" s="80">
        <v>-53</v>
      </c>
      <c r="I18" s="80">
        <v>105</v>
      </c>
      <c r="J18" s="80">
        <v>-231</v>
      </c>
      <c r="K18" s="80">
        <v>-1523</v>
      </c>
      <c r="L18" s="80">
        <v>-1265</v>
      </c>
      <c r="M18" s="80">
        <v>-1008</v>
      </c>
      <c r="N18" s="80">
        <v>826</v>
      </c>
      <c r="O18" s="80">
        <v>2421</v>
      </c>
    </row>
    <row r="19" spans="1:15" ht="15" customHeight="1" outlineLevel="2" x14ac:dyDescent="0.25">
      <c r="A19" s="1" t="s">
        <v>103</v>
      </c>
      <c r="B19" s="80">
        <f>SUM(B15:B18)</f>
        <v>-150.81600000000003</v>
      </c>
      <c r="C19" s="80">
        <f t="shared" ref="C19:O19" si="2">SUM(C15:C18)</f>
        <v>46</v>
      </c>
      <c r="D19" s="80">
        <f t="shared" si="2"/>
        <v>-167</v>
      </c>
      <c r="E19" s="80">
        <f t="shared" si="2"/>
        <v>7</v>
      </c>
      <c r="F19" s="80">
        <f t="shared" si="2"/>
        <v>-530</v>
      </c>
      <c r="G19" s="80">
        <f t="shared" si="2"/>
        <v>-329</v>
      </c>
      <c r="H19" s="80">
        <f t="shared" si="2"/>
        <v>-1113</v>
      </c>
      <c r="I19" s="80">
        <f t="shared" si="2"/>
        <v>663</v>
      </c>
      <c r="J19" s="80">
        <f t="shared" si="2"/>
        <v>-993</v>
      </c>
      <c r="K19" s="80">
        <f t="shared" si="2"/>
        <v>-3944</v>
      </c>
      <c r="L19" s="80">
        <f t="shared" si="2"/>
        <v>-3548</v>
      </c>
      <c r="M19" s="80">
        <f t="shared" si="2"/>
        <v>-5747</v>
      </c>
      <c r="N19" s="80">
        <f t="shared" si="2"/>
        <v>-13661</v>
      </c>
      <c r="O19" s="80">
        <f t="shared" si="2"/>
        <v>-21206</v>
      </c>
    </row>
    <row r="20" spans="1:15" ht="15" customHeight="1" outlineLevel="2" x14ac:dyDescent="0.25">
      <c r="A20" s="1" t="s">
        <v>104</v>
      </c>
      <c r="B20" s="80">
        <v>824.17200000000003</v>
      </c>
      <c r="C20" s="80">
        <v>835</v>
      </c>
      <c r="D20" s="80">
        <v>906</v>
      </c>
      <c r="E20" s="80">
        <v>1175</v>
      </c>
      <c r="F20" s="80">
        <v>1672</v>
      </c>
      <c r="G20" s="80">
        <v>3502</v>
      </c>
      <c r="H20" s="80">
        <v>3743</v>
      </c>
      <c r="I20" s="80">
        <v>4761</v>
      </c>
      <c r="J20" s="80">
        <v>5822</v>
      </c>
      <c r="K20" s="80">
        <v>9108</v>
      </c>
      <c r="L20" s="80">
        <v>5641</v>
      </c>
      <c r="M20" s="80">
        <v>28090</v>
      </c>
      <c r="N20" s="80">
        <v>64089</v>
      </c>
      <c r="O20" s="80">
        <v>102718</v>
      </c>
    </row>
    <row r="21" spans="1:15" ht="15" customHeight="1" outlineLevel="2" x14ac:dyDescent="0.25">
      <c r="A21" s="1" t="s">
        <v>105</v>
      </c>
      <c r="B21" s="80">
        <v>-183.309</v>
      </c>
      <c r="C21" s="80">
        <v>-230</v>
      </c>
      <c r="D21" s="80">
        <v>-101</v>
      </c>
      <c r="E21" s="80">
        <v>-79</v>
      </c>
      <c r="F21" s="80">
        <v>-169</v>
      </c>
      <c r="G21" s="80">
        <v>-591</v>
      </c>
      <c r="H21" s="80">
        <v>-600</v>
      </c>
      <c r="I21" s="80">
        <v>-489</v>
      </c>
      <c r="J21" s="80">
        <v>-1128</v>
      </c>
      <c r="K21" s="80">
        <v>-976</v>
      </c>
      <c r="L21" s="80">
        <v>-1833</v>
      </c>
      <c r="M21" s="80">
        <v>-1069</v>
      </c>
      <c r="N21" s="80">
        <v>-3236</v>
      </c>
      <c r="O21" s="80">
        <v>-6042</v>
      </c>
    </row>
    <row r="22" spans="1:15" ht="15" customHeight="1" outlineLevel="2" x14ac:dyDescent="0.25">
      <c r="A22" s="1" t="s">
        <v>106</v>
      </c>
      <c r="B22" s="80">
        <v>0</v>
      </c>
      <c r="C22" s="80">
        <v>0</v>
      </c>
      <c r="D22" s="80">
        <v>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  <c r="N22" s="80">
        <v>0</v>
      </c>
      <c r="O22" s="80">
        <v>0</v>
      </c>
    </row>
    <row r="23" spans="1:15" ht="15" customHeight="1" outlineLevel="2" x14ac:dyDescent="0.25">
      <c r="A23" s="1" t="s">
        <v>107</v>
      </c>
      <c r="B23" s="80">
        <v>0</v>
      </c>
      <c r="C23" s="80">
        <v>-17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-4</v>
      </c>
      <c r="J23" s="80">
        <v>-8524</v>
      </c>
      <c r="K23" s="80">
        <v>-263</v>
      </c>
      <c r="L23" s="80">
        <v>-49</v>
      </c>
      <c r="M23" s="80">
        <v>-83</v>
      </c>
      <c r="N23" s="80">
        <v>-1007</v>
      </c>
      <c r="O23" s="80">
        <v>-1535</v>
      </c>
    </row>
    <row r="24" spans="1:15" ht="15" customHeight="1" outlineLevel="1" x14ac:dyDescent="0.25">
      <c r="A24" s="1" t="s">
        <v>108</v>
      </c>
      <c r="B24" s="80">
        <v>-561.03499999999997</v>
      </c>
      <c r="C24" s="80">
        <v>-554</v>
      </c>
      <c r="D24" s="80">
        <v>-625</v>
      </c>
      <c r="E24" s="80">
        <v>-345</v>
      </c>
      <c r="F24" s="80">
        <v>-624</v>
      </c>
      <c r="G24" s="80">
        <v>1869</v>
      </c>
      <c r="H24" s="80">
        <v>-3488</v>
      </c>
      <c r="I24" s="80">
        <v>6648</v>
      </c>
      <c r="J24" s="80">
        <v>-9989</v>
      </c>
      <c r="K24" s="80">
        <v>-8591</v>
      </c>
      <c r="L24" s="80">
        <v>9334</v>
      </c>
      <c r="M24" s="80">
        <v>-8429</v>
      </c>
      <c r="N24" s="80">
        <v>-14885</v>
      </c>
      <c r="O24" s="80">
        <v>-14233</v>
      </c>
    </row>
    <row r="25" spans="1:15" ht="15" customHeight="1" x14ac:dyDescent="0.25">
      <c r="A25" s="1" t="s">
        <v>109</v>
      </c>
      <c r="B25" s="80">
        <v>0</v>
      </c>
      <c r="C25" s="80">
        <v>0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-77</v>
      </c>
      <c r="M25" s="80">
        <v>-861</v>
      </c>
      <c r="N25" s="80">
        <v>-1315</v>
      </c>
      <c r="O25" s="80">
        <v>-17418</v>
      </c>
    </row>
    <row r="26" spans="1:15" ht="15" customHeight="1" outlineLevel="1" x14ac:dyDescent="0.25">
      <c r="A26" s="1" t="s">
        <v>110</v>
      </c>
      <c r="B26" s="80">
        <v>-561.03499999999997</v>
      </c>
      <c r="C26" s="80">
        <v>-554</v>
      </c>
      <c r="D26" s="80">
        <v>-625</v>
      </c>
      <c r="E26" s="80">
        <v>-345</v>
      </c>
      <c r="F26" s="80">
        <v>-624</v>
      </c>
      <c r="G26" s="80">
        <v>1869</v>
      </c>
      <c r="H26" s="80">
        <v>-3488</v>
      </c>
      <c r="I26" s="80">
        <v>6648</v>
      </c>
      <c r="J26" s="80">
        <v>-9989</v>
      </c>
      <c r="K26" s="80">
        <v>-8591</v>
      </c>
      <c r="L26" s="80">
        <v>9257</v>
      </c>
      <c r="M26" s="80">
        <v>-9290</v>
      </c>
      <c r="N26" s="80">
        <v>-16200</v>
      </c>
      <c r="O26" s="80">
        <v>-31651</v>
      </c>
    </row>
    <row r="27" spans="1:15" ht="15" customHeight="1" outlineLevel="2" x14ac:dyDescent="0.25">
      <c r="A27" s="1" t="s">
        <v>111</v>
      </c>
      <c r="B27" s="80">
        <v>0.35199999999999998</v>
      </c>
      <c r="C27" s="80">
        <v>-5</v>
      </c>
      <c r="D27" s="80">
        <v>-1</v>
      </c>
      <c r="E27" s="80">
        <v>24</v>
      </c>
      <c r="F27" s="80">
        <v>0</v>
      </c>
      <c r="G27" s="80">
        <v>0</v>
      </c>
      <c r="H27" s="80">
        <v>-9</v>
      </c>
      <c r="I27" s="80">
        <v>0</v>
      </c>
      <c r="J27" s="80">
        <v>-10</v>
      </c>
      <c r="K27" s="80">
        <v>-34</v>
      </c>
      <c r="L27" s="80">
        <v>0</v>
      </c>
      <c r="M27" s="80">
        <v>-124</v>
      </c>
      <c r="N27" s="80">
        <v>22</v>
      </c>
      <c r="O27" s="80">
        <v>-13000</v>
      </c>
    </row>
    <row r="28" spans="1:15" ht="15" customHeight="1" outlineLevel="1" x14ac:dyDescent="0.25">
      <c r="A28" s="1" t="s">
        <v>112</v>
      </c>
      <c r="B28" s="80">
        <v>-743.99199999999996</v>
      </c>
      <c r="C28" s="80">
        <v>-806</v>
      </c>
      <c r="D28" s="80">
        <v>-727</v>
      </c>
      <c r="E28" s="80">
        <v>-400</v>
      </c>
      <c r="F28" s="80">
        <v>-793</v>
      </c>
      <c r="G28" s="80">
        <v>1278</v>
      </c>
      <c r="H28" s="80">
        <v>-4097</v>
      </c>
      <c r="I28" s="80">
        <v>6145</v>
      </c>
      <c r="J28" s="80">
        <v>-19675</v>
      </c>
      <c r="K28" s="80">
        <v>-9830</v>
      </c>
      <c r="L28" s="80">
        <v>7375</v>
      </c>
      <c r="M28" s="80">
        <v>-10566</v>
      </c>
      <c r="N28" s="80">
        <v>-20421</v>
      </c>
      <c r="O28" s="80">
        <v>-52228</v>
      </c>
    </row>
    <row r="29" spans="1:15" ht="15" customHeight="1" outlineLevel="1" x14ac:dyDescent="0.25">
      <c r="A29" s="1" t="s">
        <v>113</v>
      </c>
      <c r="B29" s="80">
        <v>-2.0489999999999999</v>
      </c>
      <c r="C29" s="80">
        <v>1309</v>
      </c>
      <c r="D29" s="80">
        <v>0</v>
      </c>
      <c r="E29" s="80">
        <v>0</v>
      </c>
      <c r="F29" s="80">
        <v>1988</v>
      </c>
      <c r="G29" s="80">
        <v>0</v>
      </c>
      <c r="H29" s="80">
        <v>0</v>
      </c>
      <c r="I29" s="80">
        <v>0</v>
      </c>
      <c r="J29" s="80">
        <v>4968</v>
      </c>
      <c r="K29" s="80">
        <v>3977</v>
      </c>
      <c r="L29" s="80">
        <v>0</v>
      </c>
      <c r="M29" s="80">
        <v>-1250</v>
      </c>
      <c r="N29" s="80">
        <v>-1250</v>
      </c>
      <c r="O29" s="80">
        <v>0</v>
      </c>
    </row>
    <row r="30" spans="1:15" ht="15" customHeight="1" outlineLevel="1" x14ac:dyDescent="0.25">
      <c r="A30" s="1" t="s">
        <v>114</v>
      </c>
      <c r="B30" s="80">
        <v>0</v>
      </c>
      <c r="C30" s="80">
        <v>0</v>
      </c>
      <c r="D30" s="80">
        <v>0</v>
      </c>
      <c r="E30" s="80">
        <v>0</v>
      </c>
      <c r="F30" s="80">
        <v>-673</v>
      </c>
      <c r="G30" s="80">
        <v>-812</v>
      </c>
      <c r="H30" s="80">
        <v>-16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</row>
    <row r="31" spans="1:15" ht="15" customHeight="1" outlineLevel="2" x14ac:dyDescent="0.25">
      <c r="A31" s="1" t="s">
        <v>115</v>
      </c>
      <c r="B31" s="80">
        <v>-2.0489999999999999</v>
      </c>
      <c r="C31" s="80">
        <v>1309</v>
      </c>
      <c r="D31" s="80">
        <v>0</v>
      </c>
      <c r="E31" s="80">
        <v>0</v>
      </c>
      <c r="F31" s="80">
        <v>1315</v>
      </c>
      <c r="G31" s="80">
        <v>-812</v>
      </c>
      <c r="H31" s="80">
        <v>-16</v>
      </c>
      <c r="I31" s="80">
        <v>0</v>
      </c>
      <c r="J31" s="80">
        <v>4968</v>
      </c>
      <c r="K31" s="80">
        <v>3977</v>
      </c>
      <c r="L31" s="80">
        <v>0</v>
      </c>
      <c r="M31" s="80">
        <v>-1250</v>
      </c>
      <c r="N31" s="80">
        <v>-1250</v>
      </c>
      <c r="O31" s="80">
        <v>0</v>
      </c>
    </row>
    <row r="32" spans="1:15" ht="15" customHeight="1" outlineLevel="2" x14ac:dyDescent="0.25">
      <c r="A32" s="1" t="s">
        <v>116</v>
      </c>
      <c r="B32" s="80">
        <v>-35.064999999999998</v>
      </c>
      <c r="C32" s="80">
        <v>-759</v>
      </c>
      <c r="D32" s="80">
        <v>-660</v>
      </c>
      <c r="E32" s="80">
        <v>-587</v>
      </c>
      <c r="F32" s="80">
        <v>-739</v>
      </c>
      <c r="G32" s="80">
        <v>-909</v>
      </c>
      <c r="H32" s="80">
        <v>-1579</v>
      </c>
      <c r="I32" s="80">
        <v>0</v>
      </c>
      <c r="J32" s="80">
        <v>0</v>
      </c>
      <c r="K32" s="80">
        <v>281</v>
      </c>
      <c r="L32" s="80">
        <v>-9684</v>
      </c>
      <c r="M32" s="80">
        <v>-9533</v>
      </c>
      <c r="N32" s="80">
        <v>-33706</v>
      </c>
      <c r="O32" s="80">
        <v>-40086</v>
      </c>
    </row>
    <row r="33" spans="1:15" ht="15" customHeight="1" outlineLevel="1" x14ac:dyDescent="0.25">
      <c r="A33" s="1" t="s">
        <v>117</v>
      </c>
      <c r="B33" s="80">
        <v>-35.064999999999998</v>
      </c>
      <c r="C33" s="80">
        <v>-759</v>
      </c>
      <c r="D33" s="80">
        <v>-660</v>
      </c>
      <c r="E33" s="80">
        <v>-587</v>
      </c>
      <c r="F33" s="80">
        <v>-739</v>
      </c>
      <c r="G33" s="80">
        <v>-909</v>
      </c>
      <c r="H33" s="80">
        <v>-1579</v>
      </c>
      <c r="I33" s="80">
        <v>0</v>
      </c>
      <c r="J33" s="80">
        <v>0</v>
      </c>
      <c r="K33" s="80">
        <v>281</v>
      </c>
      <c r="L33" s="80">
        <v>-9684</v>
      </c>
      <c r="M33" s="80">
        <v>-9533</v>
      </c>
      <c r="N33" s="80">
        <v>-33706</v>
      </c>
      <c r="O33" s="80">
        <v>-40086</v>
      </c>
    </row>
    <row r="34" spans="1:15" ht="15" customHeight="1" outlineLevel="2" x14ac:dyDescent="0.25">
      <c r="A34" s="1" t="s">
        <v>118</v>
      </c>
      <c r="B34" s="80">
        <v>-46.866</v>
      </c>
      <c r="C34" s="80">
        <v>-181</v>
      </c>
      <c r="D34" s="80">
        <v>-186</v>
      </c>
      <c r="E34" s="80">
        <v>-213</v>
      </c>
      <c r="F34" s="80">
        <v>-261</v>
      </c>
      <c r="G34" s="80">
        <v>-341</v>
      </c>
      <c r="H34" s="80">
        <v>-371</v>
      </c>
      <c r="I34" s="80">
        <v>-390</v>
      </c>
      <c r="J34" s="80">
        <v>-395</v>
      </c>
      <c r="K34" s="80">
        <v>-399</v>
      </c>
      <c r="L34" s="80">
        <v>-398</v>
      </c>
      <c r="M34" s="80">
        <v>-395</v>
      </c>
      <c r="N34" s="80">
        <v>-834</v>
      </c>
      <c r="O34" s="80">
        <v>-974</v>
      </c>
    </row>
    <row r="35" spans="1:15" ht="15" customHeight="1" outlineLevel="2" x14ac:dyDescent="0.25">
      <c r="A35" s="1" t="s">
        <v>119</v>
      </c>
      <c r="B35" s="80">
        <v>68.709999999999994</v>
      </c>
      <c r="C35" s="80">
        <v>21</v>
      </c>
      <c r="D35" s="80">
        <v>12</v>
      </c>
      <c r="E35" s="80">
        <v>124</v>
      </c>
      <c r="F35" s="80">
        <v>-24</v>
      </c>
      <c r="G35" s="80">
        <v>-482</v>
      </c>
      <c r="H35" s="80">
        <v>-900</v>
      </c>
      <c r="I35" s="80">
        <v>-402</v>
      </c>
      <c r="J35" s="80">
        <v>-769</v>
      </c>
      <c r="K35" s="80">
        <v>-1994</v>
      </c>
      <c r="L35" s="80">
        <v>-1535</v>
      </c>
      <c r="M35" s="80">
        <v>-2455</v>
      </c>
      <c r="N35" s="80">
        <v>-6569</v>
      </c>
      <c r="O35" s="80">
        <v>-7414</v>
      </c>
    </row>
    <row r="36" spans="1:15" ht="15" customHeight="1" outlineLevel="1" x14ac:dyDescent="0.25">
      <c r="A36" s="1" t="s">
        <v>120</v>
      </c>
      <c r="B36" s="80">
        <v>-15.27</v>
      </c>
      <c r="C36" s="80">
        <v>390</v>
      </c>
      <c r="D36" s="80">
        <v>-834</v>
      </c>
      <c r="E36" s="80">
        <v>-676</v>
      </c>
      <c r="F36" s="80">
        <v>291</v>
      </c>
      <c r="G36" s="80">
        <v>-2544</v>
      </c>
      <c r="H36" s="80">
        <v>-2866</v>
      </c>
      <c r="I36" s="80">
        <v>-792</v>
      </c>
      <c r="J36" s="80">
        <v>3804</v>
      </c>
      <c r="K36" s="80">
        <v>1865</v>
      </c>
      <c r="L36" s="80">
        <v>-11617</v>
      </c>
      <c r="M36" s="80">
        <v>-13633</v>
      </c>
      <c r="N36" s="80">
        <v>-42359</v>
      </c>
      <c r="O36" s="80">
        <v>-48474</v>
      </c>
    </row>
    <row r="37" spans="1:15" ht="15" customHeight="1" x14ac:dyDescent="0.25">
      <c r="A37" s="1" t="s">
        <v>121</v>
      </c>
      <c r="B37" s="80">
        <v>64.91</v>
      </c>
      <c r="C37" s="80">
        <v>419</v>
      </c>
      <c r="D37" s="80">
        <v>-655</v>
      </c>
      <c r="E37" s="80">
        <v>99</v>
      </c>
      <c r="F37" s="80">
        <v>1170</v>
      </c>
      <c r="G37" s="80">
        <v>2236</v>
      </c>
      <c r="H37" s="80">
        <v>-3220</v>
      </c>
      <c r="I37" s="80">
        <v>10114</v>
      </c>
      <c r="J37" s="80">
        <v>-10049</v>
      </c>
      <c r="K37" s="80">
        <v>1143</v>
      </c>
      <c r="L37" s="80">
        <v>1399</v>
      </c>
      <c r="M37" s="80">
        <v>3891</v>
      </c>
      <c r="N37" s="80">
        <v>1309</v>
      </c>
      <c r="O37" s="80">
        <v>2016</v>
      </c>
    </row>
    <row r="38" spans="1:15" ht="15" customHeight="1" outlineLevel="1" x14ac:dyDescent="0.25">
      <c r="A38" s="1" t="s">
        <v>122</v>
      </c>
      <c r="B38" s="80">
        <v>136.66200000000001</v>
      </c>
      <c r="C38" s="80">
        <v>136</v>
      </c>
      <c r="D38" s="80">
        <v>158</v>
      </c>
      <c r="E38" s="80">
        <v>204</v>
      </c>
      <c r="F38" s="80">
        <v>247</v>
      </c>
      <c r="G38" s="80">
        <v>391</v>
      </c>
      <c r="H38" s="80">
        <v>557</v>
      </c>
      <c r="I38" s="80">
        <v>844</v>
      </c>
      <c r="J38" s="80">
        <v>1397</v>
      </c>
      <c r="K38" s="80">
        <v>2004</v>
      </c>
      <c r="L38" s="80">
        <v>2709</v>
      </c>
      <c r="M38" s="80">
        <v>3549</v>
      </c>
      <c r="N38" s="80">
        <v>4737</v>
      </c>
      <c r="O38" s="80">
        <v>6386</v>
      </c>
    </row>
    <row r="39" spans="1:15" ht="15" customHeight="1" outlineLevel="2" x14ac:dyDescent="0.25"/>
    <row r="40" spans="1:15" ht="15" customHeight="1" outlineLevel="1" x14ac:dyDescent="0.25">
      <c r="A40" s="72"/>
      <c r="B40" s="70"/>
      <c r="C40" s="70"/>
      <c r="D40" s="70"/>
      <c r="E40" s="70"/>
      <c r="F40" s="70"/>
      <c r="G40" s="70"/>
      <c r="H40" s="70"/>
      <c r="I40" s="70"/>
      <c r="J40" s="70"/>
      <c r="K40" s="70"/>
    </row>
    <row r="41" spans="1:15" ht="15" customHeight="1" outlineLevel="2" x14ac:dyDescent="0.25">
      <c r="A41" s="74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5" ht="15" customHeight="1" outlineLevel="2" x14ac:dyDescent="0.25">
      <c r="A42" s="72"/>
      <c r="B42" s="70"/>
      <c r="C42" s="70"/>
      <c r="D42" s="70"/>
      <c r="E42" s="70"/>
      <c r="F42" s="70"/>
      <c r="G42" s="70"/>
      <c r="H42" s="70"/>
      <c r="I42" s="70"/>
      <c r="J42" s="70"/>
      <c r="K42" s="70"/>
    </row>
    <row r="43" spans="1:15" ht="15" customHeight="1" outlineLevel="3" x14ac:dyDescent="0.25">
      <c r="A43" s="74"/>
      <c r="B43" s="67"/>
      <c r="C43" s="67"/>
      <c r="D43" s="67"/>
      <c r="E43" s="67"/>
      <c r="F43" s="67"/>
      <c r="G43" s="67"/>
      <c r="H43" s="66"/>
      <c r="I43" s="66"/>
      <c r="J43" s="67"/>
      <c r="K43" s="67"/>
    </row>
    <row r="44" spans="1:15" ht="15" customHeight="1" outlineLevel="3" x14ac:dyDescent="0.25">
      <c r="A44" s="78"/>
      <c r="B44" s="70"/>
      <c r="C44" s="70"/>
      <c r="D44" s="70"/>
      <c r="E44" s="70"/>
      <c r="F44" s="70"/>
      <c r="G44" s="70"/>
      <c r="H44" s="70"/>
      <c r="I44" s="70"/>
      <c r="J44" s="70"/>
      <c r="K44" s="70"/>
    </row>
    <row r="45" spans="1:15" ht="15" customHeight="1" outlineLevel="1" x14ac:dyDescent="0.25">
      <c r="A45" s="79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spans="1:15" ht="15" customHeight="1" outlineLevel="2" x14ac:dyDescent="0.25">
      <c r="A46" s="79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spans="1:15" ht="15" customHeight="1" outlineLevel="3" x14ac:dyDescent="0.25">
      <c r="A47" s="72"/>
      <c r="B47" s="70"/>
      <c r="C47" s="70"/>
      <c r="D47" s="70"/>
      <c r="E47" s="70"/>
      <c r="F47" s="70"/>
      <c r="G47" s="70"/>
      <c r="H47" s="70"/>
      <c r="I47" s="70"/>
      <c r="J47" s="70"/>
      <c r="K47" s="70"/>
    </row>
    <row r="48" spans="1:15" ht="15" customHeight="1" outlineLevel="3" x14ac:dyDescent="0.25">
      <c r="A48" s="78"/>
      <c r="B48" s="70"/>
      <c r="C48" s="70"/>
      <c r="D48" s="70"/>
      <c r="E48" s="70"/>
      <c r="F48" s="70"/>
      <c r="G48" s="70"/>
      <c r="H48" s="70"/>
      <c r="I48" s="70"/>
      <c r="J48" s="70"/>
      <c r="K48" s="70"/>
    </row>
    <row r="49" spans="1:11" ht="15" customHeight="1" outlineLevel="1" x14ac:dyDescent="0.25">
      <c r="A49" s="79"/>
      <c r="B49" s="66"/>
      <c r="C49" s="66"/>
      <c r="D49" s="66"/>
      <c r="E49" s="67"/>
      <c r="F49" s="66"/>
      <c r="G49" s="66"/>
      <c r="H49" s="66"/>
      <c r="I49" s="66"/>
      <c r="J49" s="66"/>
      <c r="K49" s="66"/>
    </row>
    <row r="50" spans="1:11" ht="15" customHeight="1" outlineLevel="2" x14ac:dyDescent="0.25">
      <c r="A50" s="79"/>
      <c r="B50" s="67"/>
      <c r="C50" s="67"/>
      <c r="D50" s="67"/>
      <c r="E50" s="67"/>
      <c r="F50" s="67"/>
      <c r="G50" s="67"/>
      <c r="H50" s="66"/>
      <c r="I50" s="67"/>
      <c r="J50" s="66"/>
      <c r="K50" s="67"/>
    </row>
    <row r="51" spans="1:11" ht="15" customHeight="1" outlineLevel="2" x14ac:dyDescent="0.25">
      <c r="A51" s="72"/>
      <c r="B51" s="70"/>
      <c r="C51" s="70"/>
      <c r="D51" s="70"/>
      <c r="E51" s="70"/>
      <c r="F51" s="70"/>
      <c r="G51" s="70"/>
      <c r="H51" s="70"/>
      <c r="I51" s="70"/>
      <c r="J51" s="70"/>
      <c r="K51" s="70"/>
    </row>
    <row r="52" spans="1:11" ht="15" customHeight="1" outlineLevel="1" x14ac:dyDescent="0.25">
      <c r="A52" s="74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" customHeight="1" x14ac:dyDescent="0.25">
      <c r="A53" s="74"/>
      <c r="B53" s="66"/>
      <c r="C53" s="66"/>
      <c r="D53" s="66"/>
      <c r="E53" s="66"/>
      <c r="F53" s="66"/>
      <c r="G53" s="66"/>
      <c r="H53" s="66"/>
      <c r="I53" s="66"/>
      <c r="J53" s="66"/>
      <c r="K53" s="67"/>
    </row>
    <row r="54" spans="1:11" ht="15" customHeight="1" outlineLevel="1" x14ac:dyDescent="0.25">
      <c r="A54" s="65"/>
      <c r="B54" s="67"/>
      <c r="C54" s="67"/>
      <c r="D54" s="66"/>
      <c r="E54" s="67"/>
      <c r="F54" s="67"/>
      <c r="G54" s="67"/>
      <c r="H54" s="66"/>
      <c r="I54" s="66"/>
      <c r="J54" s="67"/>
      <c r="K54" s="67"/>
    </row>
    <row r="55" spans="1:11" ht="15" customHeight="1" outlineLevel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ht="15" customHeight="1" outlineLevel="2" x14ac:dyDescent="0.25">
      <c r="A56" s="65"/>
      <c r="B56" s="67"/>
      <c r="C56" s="66"/>
      <c r="D56" s="66"/>
      <c r="E56" s="66"/>
      <c r="F56" s="67"/>
      <c r="G56" s="66"/>
      <c r="H56" s="67"/>
      <c r="I56" s="66"/>
      <c r="J56" s="66"/>
      <c r="K56" s="66"/>
    </row>
    <row r="57" spans="1:11" ht="15" customHeight="1" outlineLevel="2" x14ac:dyDescent="0.25">
      <c r="A57" s="72"/>
      <c r="B57" s="70"/>
      <c r="C57" s="70"/>
      <c r="D57" s="70"/>
      <c r="E57" s="70"/>
      <c r="F57" s="70"/>
      <c r="G57" s="70"/>
      <c r="H57" s="70"/>
      <c r="I57" s="70"/>
      <c r="J57" s="70"/>
      <c r="K57" s="70"/>
    </row>
    <row r="58" spans="1:11" ht="15" customHeight="1" x14ac:dyDescent="0.25">
      <c r="A58" s="74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spans="1:11" ht="15" customHeight="1" x14ac:dyDescent="0.25">
      <c r="A59" s="74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spans="1:11" ht="15" customHeight="1" x14ac:dyDescent="0.25">
      <c r="A60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Agenda</vt:lpstr>
      <vt:lpstr>DCF</vt:lpstr>
      <vt:lpstr>WACC</vt:lpstr>
      <vt:lpstr>IS</vt:lpstr>
      <vt:lpstr>CFS</vt:lpstr>
      <vt:lpstr>DCF!Print_Area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Moses Udofia</cp:lastModifiedBy>
  <cp:lastPrinted>2026-07-09T02:43:41Z</cp:lastPrinted>
  <dcterms:created xsi:type="dcterms:W3CDTF">2024-05-23T02:28:16Z</dcterms:created>
  <dcterms:modified xsi:type="dcterms:W3CDTF">2026-08-29T07:33:12Z</dcterms:modified>
</cp:coreProperties>
</file>